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e\Downloads\NEW_cir matlab davide liso\NEW_cir matlab davide liso\"/>
    </mc:Choice>
  </mc:AlternateContent>
  <xr:revisionPtr revIDLastSave="0" documentId="8_{49C5265B-362D-41A2-B03D-BB65B01326D7}" xr6:coauthVersionLast="45" xr6:coauthVersionMax="45" xr10:uidLastSave="{00000000-0000-0000-0000-000000000000}"/>
  <bookViews>
    <workbookView xWindow="-108" yWindow="-108" windowWidth="23256" windowHeight="12576" tabRatio="641" firstSheet="2" activeTab="6"/>
  </bookViews>
  <sheets>
    <sheet name="Module1" sheetId="1" state="veryHidden" r:id=""/>
    <sheet name="Tree Display" sheetId="3" state="hidden" r:id="rId1"/>
    <sheet name="Title" sheetId="24" r:id="rId2"/>
    <sheet name="Equity_FX_Index_Futures_Options" sheetId="4" r:id="rId3"/>
    <sheet name="IR Tree Display" sheetId="5" state="hidden" r:id="rId4"/>
    <sheet name="Bond_Options" sheetId="6" r:id="rId5"/>
    <sheet name="Caps_and_Swap_Options" sheetId="7" r:id="rId6"/>
    <sheet name="CDSs" sheetId="22" r:id="rId7"/>
    <sheet name="CDOs" sheetId="23" r:id="rId8"/>
    <sheet name="MyData" sheetId="8" state="veryHidden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" i="4" l="1"/>
  <c r="K16" i="8"/>
  <c r="J16" i="8"/>
  <c r="I16" i="8"/>
  <c r="I3" i="8"/>
  <c r="J15" i="8"/>
  <c r="I15" i="8"/>
  <c r="K14" i="8"/>
  <c r="I14" i="8"/>
  <c r="K13" i="8"/>
  <c r="I13" i="8"/>
  <c r="I12" i="8"/>
  <c r="I11" i="8"/>
  <c r="J10" i="8"/>
  <c r="I10" i="8"/>
  <c r="J9" i="8"/>
  <c r="I9" i="8"/>
  <c r="J8" i="8"/>
  <c r="I8" i="8"/>
  <c r="J7" i="8"/>
  <c r="I7" i="8"/>
  <c r="J6" i="8"/>
  <c r="I6" i="8"/>
  <c r="K5" i="8"/>
  <c r="I5" i="8"/>
  <c r="I4" i="8"/>
  <c r="I2" i="8"/>
</calcChain>
</file>

<file path=xl/sharedStrings.xml><?xml version="1.0" encoding="utf-8"?>
<sst xmlns="http://schemas.openxmlformats.org/spreadsheetml/2006/main" count="489" uniqueCount="205">
  <si>
    <t>At each node:</t>
  </si>
  <si>
    <t xml:space="preserve"> Upper value = Underlying Asset Price</t>
  </si>
  <si>
    <t xml:space="preserve"> Lower value = Option Price</t>
  </si>
  <si>
    <t>Values in red are a result of early exercise.</t>
  </si>
  <si>
    <t xml:space="preserve">Node Time: </t>
  </si>
  <si>
    <t>Underlying Data</t>
  </si>
  <si>
    <t>Graph Results</t>
  </si>
  <si>
    <t>Underlying Type:</t>
  </si>
  <si>
    <t>Vertical Axis:</t>
  </si>
  <si>
    <t>Horizontal Axis:</t>
  </si>
  <si>
    <t xml:space="preserve">Stock Price: </t>
  </si>
  <si>
    <t xml:space="preserve">Volatility (% per year): </t>
  </si>
  <si>
    <t xml:space="preserve">Risk-Free Rate (% per year): </t>
  </si>
  <si>
    <t>Minimum X value</t>
  </si>
  <si>
    <t>Maximum X value</t>
  </si>
  <si>
    <t>Option Data</t>
  </si>
  <si>
    <t>Option Type:</t>
  </si>
  <si>
    <t>Time to Exercise:</t>
  </si>
  <si>
    <t xml:space="preserve">Exercise Price: </t>
  </si>
  <si>
    <t>Time since Inception:</t>
  </si>
  <si>
    <t xml:space="preserve">Current Average: </t>
  </si>
  <si>
    <t xml:space="preserve">Price: </t>
  </si>
  <si>
    <t xml:space="preserve">Delta (per $): </t>
  </si>
  <si>
    <t xml:space="preserve">Gamma (per $ per $): </t>
  </si>
  <si>
    <t xml:space="preserve">Vega (per %): </t>
  </si>
  <si>
    <t xml:space="preserve">Theta (per day): </t>
  </si>
  <si>
    <t xml:space="preserve">Rho (per %): </t>
  </si>
  <si>
    <t xml:space="preserve"> Upper value = Cash Bond Price</t>
  </si>
  <si>
    <t xml:space="preserve"> Middle value = Option Price</t>
  </si>
  <si>
    <t xml:space="preserve"> Lower value = dt-period Rate</t>
  </si>
  <si>
    <t>Pu:</t>
  </si>
  <si>
    <t>Pm:</t>
  </si>
  <si>
    <t>Pd:</t>
  </si>
  <si>
    <t>Bond Data</t>
  </si>
  <si>
    <t>Term Structure</t>
  </si>
  <si>
    <t>Time (Yrs)</t>
  </si>
  <si>
    <t>Rate (%)</t>
  </si>
  <si>
    <t xml:space="preserve">Principal: </t>
  </si>
  <si>
    <t xml:space="preserve">Coupon Frequency: </t>
  </si>
  <si>
    <t xml:space="preserve">Bond Life (Years): </t>
  </si>
  <si>
    <t xml:space="preserve">Coupon Rate (%): </t>
  </si>
  <si>
    <t xml:space="preserve">Quoted Bond Price (/100): </t>
  </si>
  <si>
    <t xml:space="preserve">Pricing Model: </t>
  </si>
  <si>
    <t xml:space="preserve">Strike Price (/100): </t>
  </si>
  <si>
    <t xml:space="preserve">Option Life (Years): </t>
  </si>
  <si>
    <t xml:space="preserve">Short-Rate Volatility (%): </t>
  </si>
  <si>
    <t xml:space="preserve">Reversion Rate (%): </t>
  </si>
  <si>
    <t xml:space="preserve">Tree Steps: </t>
  </si>
  <si>
    <t xml:space="preserve">DV01 (Per basis point): </t>
  </si>
  <si>
    <t xml:space="preserve">Gamma01 (Per %): </t>
  </si>
  <si>
    <t>Swap / Cap Data</t>
  </si>
  <si>
    <t xml:space="preserve">Settlement Frequency: </t>
  </si>
  <si>
    <t>Principal :</t>
  </si>
  <si>
    <t xml:space="preserve">Swap Start (Years): </t>
  </si>
  <si>
    <t xml:space="preserve">Swap End (Years): </t>
  </si>
  <si>
    <t>Swap Rate (%):</t>
  </si>
  <si>
    <t>Option Type -&gt;</t>
  </si>
  <si>
    <t>Number of items</t>
  </si>
  <si>
    <t>Items:</t>
  </si>
  <si>
    <t>Formats:</t>
  </si>
  <si>
    <t>Graph Data</t>
  </si>
  <si>
    <t>Bond Graph Data</t>
  </si>
  <si>
    <t>Cap/Swap Graph Data</t>
  </si>
  <si>
    <t>Analytic: European</t>
  </si>
  <si>
    <t>0.0000</t>
  </si>
  <si>
    <t>Binomial: European</t>
  </si>
  <si>
    <t>0</t>
  </si>
  <si>
    <t>Binomial: American</t>
  </si>
  <si>
    <t>Time to Expiration:</t>
  </si>
  <si>
    <t>Asian</t>
  </si>
  <si>
    <t>Barrier: Up and In</t>
  </si>
  <si>
    <t xml:space="preserve">Barrier: </t>
  </si>
  <si>
    <t>Barrier: Up and Out</t>
  </si>
  <si>
    <t>Barrier: Down and In</t>
  </si>
  <si>
    <t>Barrier: Down and Out</t>
  </si>
  <si>
    <t>Binary: Cash or Nothing</t>
  </si>
  <si>
    <t xml:space="preserve">Cash Amount: </t>
  </si>
  <si>
    <t>Binary: Asset or Nothing</t>
  </si>
  <si>
    <t>Chooser</t>
  </si>
  <si>
    <t xml:space="preserve">Decision Date: </t>
  </si>
  <si>
    <t>Compound: Option on Call</t>
  </si>
  <si>
    <t xml:space="preserve">Time to First Exercise: </t>
  </si>
  <si>
    <t xml:space="preserve">First Exercise Price: </t>
  </si>
  <si>
    <t xml:space="preserve">Time to Final Exercise: </t>
  </si>
  <si>
    <t xml:space="preserve">Final Exercise Price: </t>
  </si>
  <si>
    <t>Compound: Option on Put</t>
  </si>
  <si>
    <t xml:space="preserve">Maximum to Date: </t>
  </si>
  <si>
    <t xml:space="preserve">Minimum to Date: </t>
  </si>
  <si>
    <t>Underlying Type -&gt;</t>
  </si>
  <si>
    <t>Equity</t>
  </si>
  <si>
    <t>0.00</t>
  </si>
  <si>
    <t>0.00%</t>
  </si>
  <si>
    <t>Currency</t>
  </si>
  <si>
    <t xml:space="preserve">Exchange Rate ($ / foreign): </t>
  </si>
  <si>
    <t xml:space="preserve">Foreign Risk-free Rate (% per year): </t>
  </si>
  <si>
    <t>Index</t>
  </si>
  <si>
    <t xml:space="preserve">Index Level: </t>
  </si>
  <si>
    <t xml:space="preserve">Dividend Yield (% per yer): </t>
  </si>
  <si>
    <t>Futures</t>
  </si>
  <si>
    <t xml:space="preserve">Futures Price: </t>
  </si>
  <si>
    <t>Call or Put -&gt;</t>
  </si>
  <si>
    <t>Is Today -&gt;</t>
  </si>
  <si>
    <t>ImplyVolatility -&gt;</t>
  </si>
  <si>
    <t>X-axis variable -&gt;</t>
  </si>
  <si>
    <t>Asset price</t>
  </si>
  <si>
    <t>Strike price</t>
  </si>
  <si>
    <t>Risk-free rate</t>
  </si>
  <si>
    <t>Time to Exercise</t>
  </si>
  <si>
    <t>Volatility</t>
  </si>
  <si>
    <t>Y-axis variable -&gt;</t>
  </si>
  <si>
    <t>Option price</t>
  </si>
  <si>
    <t>Delta</t>
  </si>
  <si>
    <t>Gamma</t>
  </si>
  <si>
    <t>Vega</t>
  </si>
  <si>
    <t>Rho</t>
  </si>
  <si>
    <t>Theta</t>
  </si>
  <si>
    <t>Bond Option Display Data:</t>
  </si>
  <si>
    <t>Coupon Frequency -&gt;</t>
  </si>
  <si>
    <t>Quarterly</t>
  </si>
  <si>
    <t>Semi-Annual</t>
  </si>
  <si>
    <t>Annual</t>
  </si>
  <si>
    <t>Pricing Model -&gt;</t>
  </si>
  <si>
    <t>Black - European</t>
  </si>
  <si>
    <t xml:space="preserve">Yield Volatility (%): </t>
  </si>
  <si>
    <t>Normal - Analytic European</t>
  </si>
  <si>
    <t>Normal - Tree European</t>
  </si>
  <si>
    <t>Normal - American</t>
  </si>
  <si>
    <t>LogNormal - European</t>
  </si>
  <si>
    <t>LogNormal - American</t>
  </si>
  <si>
    <t>Quoted Strike -&gt;</t>
  </si>
  <si>
    <t>Price from TS -&gt;</t>
  </si>
  <si>
    <t>Parallel Rate Shift</t>
  </si>
  <si>
    <t>Bond Maturity</t>
  </si>
  <si>
    <t>DV01</t>
  </si>
  <si>
    <t>Gamma01</t>
  </si>
  <si>
    <t>Cap / Swap Option Display Data:</t>
  </si>
  <si>
    <t>Settlement Frequency -&gt;</t>
  </si>
  <si>
    <t>Monthly</t>
  </si>
  <si>
    <t xml:space="preserve">Volatility (%): </t>
  </si>
  <si>
    <t>Normal - European</t>
  </si>
  <si>
    <t>Swap Option</t>
  </si>
  <si>
    <t>Cap / Floor</t>
  </si>
  <si>
    <t xml:space="preserve">Cap/Floor Start (Years): </t>
  </si>
  <si>
    <t xml:space="preserve">Cap/Floor End (Years): </t>
  </si>
  <si>
    <t>Cap/Floor Rate (%):</t>
  </si>
  <si>
    <t>ImplyBreakEven -&gt;</t>
  </si>
  <si>
    <t>Swap / Cap Rate</t>
  </si>
  <si>
    <t>Time to Start</t>
  </si>
  <si>
    <t>Time to End</t>
  </si>
  <si>
    <t>Strike price = 100</t>
  </si>
  <si>
    <t>Floating Lookback</t>
  </si>
  <si>
    <t>Fixed Lookback</t>
  </si>
  <si>
    <t>Strike price = 50</t>
  </si>
  <si>
    <t xml:space="preserve">Accrual: </t>
  </si>
  <si>
    <t>CDS Data</t>
  </si>
  <si>
    <t>Payment Frequency -&gt;</t>
  </si>
  <si>
    <t>ImplyLambda -&gt;</t>
  </si>
  <si>
    <t>Default Rate Data</t>
  </si>
  <si>
    <t>Life(Yrs)</t>
  </si>
  <si>
    <t>Spread (bp)</t>
  </si>
  <si>
    <t>Hazard Rate</t>
  </si>
  <si>
    <t>Recovery Rate</t>
  </si>
  <si>
    <t>Payment Frequency:</t>
  </si>
  <si>
    <t>Upfront (%)</t>
  </si>
  <si>
    <t>Detachment Point (%)</t>
  </si>
  <si>
    <t>Attachment Point (%)</t>
  </si>
  <si>
    <t>Number of Names</t>
  </si>
  <si>
    <t>Life (Years)</t>
  </si>
  <si>
    <t>CD0 Data</t>
  </si>
  <si>
    <t>Upfront1</t>
  </si>
  <si>
    <t>Upfront2</t>
  </si>
  <si>
    <t>Upfront3</t>
  </si>
  <si>
    <t>Upfront4</t>
  </si>
  <si>
    <t>Upfront5</t>
  </si>
  <si>
    <t>ImpCorr</t>
  </si>
  <si>
    <t>CDO Data</t>
  </si>
  <si>
    <t>No. of Integration Points</t>
  </si>
  <si>
    <t>Discount factor per step = 0.9900</t>
  </si>
  <si>
    <t>Time step, dt = 0.2000 years, 73.00 days</t>
  </si>
  <si>
    <t>Growth factor per step, a = 1.0060</t>
  </si>
  <si>
    <t>Probability of up move, p = 0.4989</t>
  </si>
  <si>
    <t>Up step size, u = 1.1183</t>
  </si>
  <si>
    <t>Down step size, d = 0.8942</t>
  </si>
  <si>
    <t>Time step, dt = 0.1000 years, 36.50 days</t>
  </si>
  <si>
    <t>CDS Hazard Rate Data</t>
  </si>
  <si>
    <t>Base Correlation</t>
  </si>
  <si>
    <t>Base Corr.</t>
  </si>
  <si>
    <t>DerivaGem - Version 2.00</t>
  </si>
  <si>
    <t>For Excel 2000 and more recent versions of Excel</t>
  </si>
  <si>
    <t>This is the Options Calculator Software that has been designed to</t>
  </si>
  <si>
    <t>accompany John Hull's texts:</t>
  </si>
  <si>
    <t>"Options, Futures and Other Derivatives" 7/E</t>
  </si>
  <si>
    <t>"Fundamentals of Futures and Options Markets" 7/E</t>
  </si>
  <si>
    <t>and</t>
  </si>
  <si>
    <t>"Risk Management and Financial Institutions" 2/E</t>
  </si>
  <si>
    <t>All books are published by Pearson Prentice Hall. They can be ordered from outlets such as</t>
  </si>
  <si>
    <t>Amazon.com or directly from the publisher at http://www.prenhall.com/mischtm/support_fr.html</t>
  </si>
  <si>
    <r>
      <t>Important</t>
    </r>
    <r>
      <rPr>
        <sz val="12"/>
        <rFont val="Times New Roman"/>
        <family val="1"/>
      </rPr>
      <t xml:space="preserve">: </t>
    </r>
    <r>
      <rPr>
        <sz val="12"/>
        <color indexed="10"/>
        <rFont val="Times New Roman"/>
        <family val="1"/>
      </rPr>
      <t>Do not forget to enable Macros. If you are using Office 2007 you will have to</t>
    </r>
  </si>
  <si>
    <r>
      <t>click on the Options button and choose "Enable this Content"</t>
    </r>
    <r>
      <rPr>
        <sz val="12"/>
        <rFont val="Times New Roman"/>
        <family val="1"/>
      </rPr>
      <t xml:space="preserve"> </t>
    </r>
  </si>
  <si>
    <t>This software was developed for educational purposes by A-J Financial Systems, Inc.</t>
  </si>
  <si>
    <t>ExpLoss</t>
  </si>
  <si>
    <t>PVPmts</t>
  </si>
  <si>
    <t>Tranche Corr</t>
  </si>
  <si>
    <t>Time</t>
  </si>
  <si>
    <t>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</si>
</sst>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2" formatCode="0.0000"/>
    <numFmt numFmtId="173" formatCode="0.000%"/>
    <numFmt numFmtId="174" formatCode="0.0000%"/>
  </numFmts>
  <fonts count="1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22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Tahoma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sz val="24"/>
      <name val="Times New Roman"/>
      <family val="1"/>
    </font>
    <font>
      <sz val="16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10"/>
      <name val="Times New Roman"/>
      <family val="1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164">
    <xf numFmtId="0" fontId="0" fillId="0" borderId="0" xfId="0"/>
    <xf numFmtId="0" fontId="0" fillId="2" borderId="1" xfId="0" applyFill="1" applyBorder="1" applyAlignment="1">
      <alignment horizontal="centerContinuous"/>
    </xf>
    <xf numFmtId="0" fontId="0" fillId="2" borderId="2" xfId="0" applyFill="1" applyBorder="1" applyAlignment="1">
      <alignment horizontal="centerContinuous"/>
    </xf>
    <xf numFmtId="0" fontId="0" fillId="2" borderId="3" xfId="0" applyFill="1" applyBorder="1"/>
    <xf numFmtId="0" fontId="0" fillId="2" borderId="3" xfId="0" applyFill="1" applyBorder="1" applyAlignment="1">
      <alignment horizontal="centerContinuous"/>
    </xf>
    <xf numFmtId="0" fontId="0" fillId="0" borderId="0" xfId="0" applyProtection="1">
      <protection locked="0"/>
    </xf>
    <xf numFmtId="0" fontId="0" fillId="3" borderId="4" xfId="0" applyFill="1" applyBorder="1" applyAlignment="1"/>
    <xf numFmtId="0" fontId="0" fillId="3" borderId="0" xfId="0" applyFill="1" applyAlignment="1"/>
    <xf numFmtId="0" fontId="0" fillId="3" borderId="0" xfId="0" applyFill="1" applyBorder="1" applyAlignment="1" applyProtection="1">
      <alignment horizontal="center"/>
    </xf>
    <xf numFmtId="0" fontId="0" fillId="3" borderId="5" xfId="0" applyFill="1" applyBorder="1"/>
    <xf numFmtId="0" fontId="0" fillId="3" borderId="0" xfId="0" applyFill="1"/>
    <xf numFmtId="0" fontId="0" fillId="3" borderId="4" xfId="0" applyFill="1" applyBorder="1"/>
    <xf numFmtId="0" fontId="0" fillId="3" borderId="0" xfId="0" applyFill="1" applyProtection="1"/>
    <xf numFmtId="0" fontId="0" fillId="0" borderId="6" xfId="0" applyFill="1" applyBorder="1" applyProtection="1">
      <protection locked="0"/>
    </xf>
    <xf numFmtId="15" fontId="0" fillId="3" borderId="0" xfId="0" applyNumberFormat="1" applyFill="1" applyBorder="1" applyProtection="1"/>
    <xf numFmtId="0" fontId="3" fillId="3" borderId="0" xfId="0" applyFont="1" applyFill="1" applyProtection="1"/>
    <xf numFmtId="0" fontId="0" fillId="3" borderId="0" xfId="0" quotePrefix="1" applyFill="1" applyAlignment="1">
      <alignment horizontal="left"/>
    </xf>
    <xf numFmtId="0" fontId="0" fillId="3" borderId="0" xfId="0" applyFill="1" applyAlignment="1">
      <alignment horizontal="right"/>
    </xf>
    <xf numFmtId="2" fontId="0" fillId="0" borderId="6" xfId="0" applyNumberFormat="1" applyFill="1" applyBorder="1" applyProtection="1">
      <protection locked="0"/>
    </xf>
    <xf numFmtId="10" fontId="0" fillId="0" borderId="6" xfId="0" applyNumberFormat="1" applyFill="1" applyBorder="1" applyProtection="1">
      <protection locked="0"/>
    </xf>
    <xf numFmtId="0" fontId="0" fillId="3" borderId="0" xfId="0" quotePrefix="1" applyFill="1" applyAlignment="1">
      <alignment horizontal="right"/>
    </xf>
    <xf numFmtId="0" fontId="0" fillId="0" borderId="6" xfId="0" applyNumberFormat="1" applyFill="1" applyBorder="1" applyProtection="1">
      <protection locked="0"/>
    </xf>
    <xf numFmtId="0" fontId="0" fillId="3" borderId="0" xfId="0" applyNumberFormat="1" applyFill="1" applyBorder="1" applyProtection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0" xfId="0" quotePrefix="1" applyFill="1" applyBorder="1" applyAlignment="1">
      <alignment horizontal="left"/>
    </xf>
    <xf numFmtId="0" fontId="0" fillId="3" borderId="0" xfId="0" applyFill="1" applyBorder="1"/>
    <xf numFmtId="0" fontId="0" fillId="3" borderId="0" xfId="0" applyFill="1" applyBorder="1" applyProtection="1"/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right"/>
    </xf>
    <xf numFmtId="172" fontId="0" fillId="0" borderId="6" xfId="0" applyNumberFormat="1" applyFill="1" applyBorder="1" applyProtection="1">
      <protection locked="0"/>
    </xf>
    <xf numFmtId="0" fontId="0" fillId="3" borderId="10" xfId="0" applyFill="1" applyBorder="1"/>
    <xf numFmtId="0" fontId="0" fillId="3" borderId="11" xfId="0" applyNumberFormat="1" applyFill="1" applyBorder="1"/>
    <xf numFmtId="0" fontId="0" fillId="3" borderId="11" xfId="0" applyNumberFormat="1" applyFill="1" applyBorder="1" applyAlignment="1">
      <alignment horizontal="right"/>
    </xf>
    <xf numFmtId="0" fontId="0" fillId="3" borderId="11" xfId="0" applyFill="1" applyBorder="1" applyProtection="1"/>
    <xf numFmtId="0" fontId="0" fillId="3" borderId="11" xfId="0" applyFill="1" applyBorder="1"/>
    <xf numFmtId="0" fontId="0" fillId="3" borderId="12" xfId="0" applyFill="1" applyBorder="1"/>
    <xf numFmtId="0" fontId="0" fillId="3" borderId="0" xfId="0" applyFill="1" applyBorder="1" applyAlignment="1">
      <alignment horizontal="right"/>
    </xf>
    <xf numFmtId="0" fontId="0" fillId="3" borderId="0" xfId="0" quotePrefix="1" applyFill="1" applyBorder="1" applyAlignment="1">
      <alignment horizontal="right"/>
    </xf>
    <xf numFmtId="0" fontId="0" fillId="2" borderId="13" xfId="0" applyFill="1" applyBorder="1" applyAlignment="1">
      <alignment horizontal="centerContinuous"/>
    </xf>
    <xf numFmtId="0" fontId="0" fillId="2" borderId="14" xfId="0" applyFill="1" applyBorder="1" applyAlignment="1">
      <alignment horizontal="centerContinuous"/>
    </xf>
    <xf numFmtId="0" fontId="0" fillId="2" borderId="15" xfId="0" applyFill="1" applyBorder="1"/>
    <xf numFmtId="0" fontId="0" fillId="2" borderId="15" xfId="0" applyFill="1" applyBorder="1" applyAlignment="1">
      <alignment horizontal="centerContinuous"/>
    </xf>
    <xf numFmtId="0" fontId="0" fillId="0" borderId="0" xfId="0" applyFill="1"/>
    <xf numFmtId="0" fontId="0" fillId="3" borderId="16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0" xfId="0" quotePrefix="1" applyFill="1" applyBorder="1" applyAlignment="1">
      <alignment horizontal="center"/>
    </xf>
    <xf numFmtId="0" fontId="0" fillId="3" borderId="17" xfId="0" applyFill="1" applyBorder="1"/>
    <xf numFmtId="0" fontId="0" fillId="3" borderId="16" xfId="0" applyFill="1" applyBorder="1"/>
    <xf numFmtId="173" fontId="0" fillId="0" borderId="6" xfId="0" applyNumberFormat="1" applyFill="1" applyBorder="1" applyProtection="1">
      <protection locked="0"/>
    </xf>
    <xf numFmtId="0" fontId="0" fillId="2" borderId="16" xfId="0" applyFill="1" applyBorder="1" applyAlignment="1">
      <alignment horizontal="centerContinuous"/>
    </xf>
    <xf numFmtId="0" fontId="0" fillId="2" borderId="0" xfId="0" applyFill="1" applyBorder="1" applyAlignment="1">
      <alignment horizontal="centerContinuous"/>
    </xf>
    <xf numFmtId="0" fontId="0" fillId="3" borderId="17" xfId="0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21" xfId="0" applyFill="1" applyBorder="1" applyProtection="1">
      <protection locked="0"/>
    </xf>
    <xf numFmtId="0" fontId="0" fillId="3" borderId="22" xfId="0" applyFill="1" applyBorder="1"/>
    <xf numFmtId="0" fontId="0" fillId="3" borderId="23" xfId="0" applyFill="1" applyBorder="1"/>
    <xf numFmtId="0" fontId="0" fillId="2" borderId="13" xfId="0" quotePrefix="1" applyFill="1" applyBorder="1" applyAlignment="1" applyProtection="1">
      <alignment horizontal="centerContinuous"/>
    </xf>
    <xf numFmtId="0" fontId="0" fillId="2" borderId="14" xfId="0" applyFill="1" applyBorder="1" applyAlignment="1" applyProtection="1">
      <alignment horizontal="centerContinuous"/>
    </xf>
    <xf numFmtId="0" fontId="0" fillId="2" borderId="15" xfId="0" applyFill="1" applyBorder="1" applyProtection="1"/>
    <xf numFmtId="0" fontId="0" fillId="2" borderId="15" xfId="0" applyFill="1" applyBorder="1" applyAlignment="1" applyProtection="1">
      <alignment horizontal="centerContinuous"/>
    </xf>
    <xf numFmtId="0" fontId="0" fillId="3" borderId="16" xfId="0" applyFill="1" applyBorder="1" applyAlignment="1" applyProtection="1">
      <alignment horizontal="center"/>
    </xf>
    <xf numFmtId="0" fontId="0" fillId="3" borderId="0" xfId="0" applyFill="1" applyAlignment="1" applyProtection="1"/>
    <xf numFmtId="0" fontId="0" fillId="3" borderId="0" xfId="0" quotePrefix="1" applyFill="1" applyBorder="1" applyAlignment="1" applyProtection="1">
      <alignment horizontal="center"/>
    </xf>
    <xf numFmtId="0" fontId="0" fillId="3" borderId="17" xfId="0" applyFill="1" applyBorder="1" applyProtection="1"/>
    <xf numFmtId="0" fontId="0" fillId="3" borderId="16" xfId="0" applyFill="1" applyBorder="1" applyProtection="1"/>
    <xf numFmtId="0" fontId="0" fillId="3" borderId="0" xfId="0" applyFill="1" applyBorder="1" applyAlignment="1" applyProtection="1">
      <alignment horizontal="right"/>
    </xf>
    <xf numFmtId="1" fontId="0" fillId="0" borderId="6" xfId="0" applyNumberFormat="1" applyFill="1" applyBorder="1" applyProtection="1">
      <protection locked="0"/>
    </xf>
    <xf numFmtId="0" fontId="0" fillId="3" borderId="0" xfId="0" quotePrefix="1" applyFill="1" applyBorder="1" applyAlignment="1" applyProtection="1">
      <alignment horizontal="left"/>
    </xf>
    <xf numFmtId="0" fontId="0" fillId="3" borderId="0" xfId="0" quotePrefix="1" applyFill="1" applyBorder="1" applyAlignment="1" applyProtection="1">
      <alignment horizontal="right"/>
    </xf>
    <xf numFmtId="0" fontId="0" fillId="3" borderId="18" xfId="0" applyFill="1" applyBorder="1" applyProtection="1"/>
    <xf numFmtId="0" fontId="0" fillId="3" borderId="19" xfId="0" applyFill="1" applyBorder="1" applyProtection="1"/>
    <xf numFmtId="0" fontId="0" fillId="3" borderId="0" xfId="0" applyFill="1" applyAlignment="1" applyProtection="1">
      <alignment horizontal="right"/>
    </xf>
    <xf numFmtId="0" fontId="0" fillId="0" borderId="0" xfId="0" applyProtection="1"/>
    <xf numFmtId="0" fontId="0" fillId="0" borderId="0" xfId="0" applyFill="1" applyProtection="1"/>
    <xf numFmtId="0" fontId="0" fillId="3" borderId="20" xfId="0" applyFill="1" applyBorder="1" applyProtection="1"/>
    <xf numFmtId="0" fontId="0" fillId="3" borderId="2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Protection="1"/>
    <xf numFmtId="0" fontId="1" fillId="0" borderId="0" xfId="0" applyFont="1"/>
    <xf numFmtId="0" fontId="1" fillId="0" borderId="0" xfId="0" applyFont="1" applyAlignment="1">
      <alignment wrapText="1"/>
    </xf>
    <xf numFmtId="0" fontId="7" fillId="0" borderId="0" xfId="0" applyFont="1" applyAlignment="1">
      <alignment horizontal="centerContinuous"/>
    </xf>
    <xf numFmtId="0" fontId="7" fillId="0" borderId="0" xfId="0" quotePrefix="1" applyFont="1" applyAlignment="1">
      <alignment horizontal="centerContinuous"/>
    </xf>
    <xf numFmtId="0" fontId="0" fillId="0" borderId="0" xfId="0" quotePrefix="1" applyAlignment="1">
      <alignment horizontal="left"/>
    </xf>
    <xf numFmtId="11" fontId="0" fillId="0" borderId="0" xfId="0" applyNumberFormat="1"/>
    <xf numFmtId="0" fontId="1" fillId="0" borderId="0" xfId="0" quotePrefix="1" applyFont="1" applyAlignment="1">
      <alignment horizontal="left"/>
    </xf>
    <xf numFmtId="15" fontId="0" fillId="0" borderId="0" xfId="0" applyNumberFormat="1"/>
    <xf numFmtId="0" fontId="7" fillId="0" borderId="0" xfId="0" applyFont="1"/>
    <xf numFmtId="0" fontId="0" fillId="0" borderId="0" xfId="0" quotePrefix="1" applyFill="1" applyAlignment="1">
      <alignment horizontal="left"/>
    </xf>
    <xf numFmtId="0" fontId="0" fillId="0" borderId="0" xfId="0" applyAlignment="1">
      <alignment horizontal="left"/>
    </xf>
    <xf numFmtId="0" fontId="7" fillId="0" borderId="0" xfId="0" quotePrefix="1" applyFont="1" applyAlignment="1">
      <alignment horizontal="left"/>
    </xf>
    <xf numFmtId="0" fontId="0" fillId="0" borderId="6" xfId="0" applyFill="1" applyBorder="1"/>
    <xf numFmtId="172" fontId="0" fillId="0" borderId="0" xfId="0" applyNumberFormat="1"/>
    <xf numFmtId="174" fontId="0" fillId="0" borderId="6" xfId="0" applyNumberFormat="1" applyFill="1" applyBorder="1"/>
    <xf numFmtId="0" fontId="0" fillId="0" borderId="0" xfId="0" applyAlignment="1">
      <alignment horizontal="right"/>
    </xf>
    <xf numFmtId="174" fontId="0" fillId="0" borderId="0" xfId="0" applyNumberFormat="1"/>
    <xf numFmtId="0" fontId="0" fillId="0" borderId="0" xfId="0" applyFill="1" applyProtection="1">
      <protection locked="0"/>
    </xf>
    <xf numFmtId="0" fontId="2" fillId="0" borderId="0" xfId="0" quotePrefix="1" applyFont="1" applyAlignment="1">
      <alignment horizontal="left"/>
    </xf>
    <xf numFmtId="0" fontId="2" fillId="0" borderId="0" xfId="0" applyFont="1" applyProtection="1">
      <protection locked="0"/>
    </xf>
    <xf numFmtId="0" fontId="9" fillId="0" borderId="6" xfId="0" applyFont="1" applyFill="1" applyBorder="1"/>
    <xf numFmtId="0" fontId="2" fillId="2" borderId="13" xfId="1" applyFill="1" applyBorder="1" applyAlignment="1" applyProtection="1">
      <alignment horizontal="centerContinuous"/>
    </xf>
    <xf numFmtId="0" fontId="2" fillId="2" borderId="14" xfId="1" applyFill="1" applyBorder="1" applyAlignment="1" applyProtection="1">
      <alignment horizontal="centerContinuous"/>
    </xf>
    <xf numFmtId="0" fontId="2" fillId="2" borderId="15" xfId="1" applyFill="1" applyBorder="1" applyProtection="1"/>
    <xf numFmtId="0" fontId="2" fillId="0" borderId="0" xfId="1"/>
    <xf numFmtId="0" fontId="2" fillId="0" borderId="0" xfId="1" applyProtection="1">
      <protection locked="0"/>
    </xf>
    <xf numFmtId="0" fontId="2" fillId="3" borderId="16" xfId="1" applyFill="1" applyBorder="1" applyAlignment="1" applyProtection="1">
      <alignment horizontal="center"/>
    </xf>
    <xf numFmtId="0" fontId="2" fillId="3" borderId="0" xfId="1" applyFill="1" applyBorder="1" applyAlignment="1" applyProtection="1">
      <alignment horizontal="center"/>
    </xf>
    <xf numFmtId="0" fontId="2" fillId="3" borderId="0" xfId="1" quotePrefix="1" applyFill="1" applyBorder="1" applyAlignment="1" applyProtection="1">
      <alignment horizontal="center"/>
    </xf>
    <xf numFmtId="0" fontId="2" fillId="3" borderId="17" xfId="1" applyFill="1" applyBorder="1" applyProtection="1"/>
    <xf numFmtId="0" fontId="2" fillId="0" borderId="6" xfId="1" applyFill="1" applyBorder="1" applyAlignment="1" applyProtection="1">
      <alignment horizontal="center"/>
      <protection locked="0"/>
    </xf>
    <xf numFmtId="0" fontId="2" fillId="0" borderId="6" xfId="1" applyNumberFormat="1" applyFill="1" applyBorder="1" applyAlignment="1" applyProtection="1">
      <alignment horizontal="center"/>
      <protection locked="0"/>
    </xf>
    <xf numFmtId="0" fontId="2" fillId="3" borderId="0" xfId="1" applyFill="1" applyBorder="1" applyProtection="1"/>
    <xf numFmtId="173" fontId="2" fillId="0" borderId="6" xfId="1" applyNumberFormat="1" applyFill="1" applyBorder="1" applyAlignment="1" applyProtection="1">
      <alignment horizontal="center"/>
      <protection locked="0"/>
    </xf>
    <xf numFmtId="0" fontId="2" fillId="0" borderId="0" xfId="1" applyProtection="1"/>
    <xf numFmtId="0" fontId="2" fillId="0" borderId="0" xfId="1" applyFill="1" applyProtection="1"/>
    <xf numFmtId="0" fontId="2" fillId="3" borderId="0" xfId="1" applyFill="1" applyBorder="1" applyAlignment="1" applyProtection="1">
      <alignment horizontal="right"/>
    </xf>
    <xf numFmtId="0" fontId="2" fillId="3" borderId="0" xfId="1" applyFill="1" applyBorder="1" applyAlignment="1" applyProtection="1">
      <alignment horizontal="left"/>
    </xf>
    <xf numFmtId="0" fontId="2" fillId="3" borderId="0" xfId="1" quotePrefix="1" applyFill="1" applyBorder="1" applyAlignment="1" applyProtection="1">
      <alignment horizontal="right"/>
    </xf>
    <xf numFmtId="0" fontId="2" fillId="3" borderId="23" xfId="1" applyFill="1" applyBorder="1" applyAlignment="1" applyProtection="1">
      <alignment horizontal="center"/>
    </xf>
    <xf numFmtId="0" fontId="2" fillId="3" borderId="18" xfId="1" applyFill="1" applyBorder="1" applyProtection="1"/>
    <xf numFmtId="0" fontId="2" fillId="3" borderId="19" xfId="1" applyFill="1" applyBorder="1" applyProtection="1"/>
    <xf numFmtId="172" fontId="2" fillId="0" borderId="6" xfId="1" applyNumberFormat="1" applyFill="1" applyBorder="1" applyAlignment="1" applyProtection="1">
      <alignment horizontal="center"/>
    </xf>
    <xf numFmtId="173" fontId="0" fillId="0" borderId="6" xfId="2" applyNumberFormat="1" applyFont="1" applyFill="1" applyBorder="1" applyAlignment="1" applyProtection="1">
      <alignment horizontal="center"/>
    </xf>
    <xf numFmtId="2" fontId="2" fillId="0" borderId="6" xfId="1" applyNumberFormat="1" applyFill="1" applyBorder="1" applyAlignment="1" applyProtection="1">
      <alignment horizontal="center"/>
    </xf>
    <xf numFmtId="0" fontId="0" fillId="0" borderId="0" xfId="0" quotePrefix="1" applyAlignment="1" applyProtection="1">
      <alignment horizontal="left"/>
      <protection locked="0"/>
    </xf>
    <xf numFmtId="2" fontId="2" fillId="0" borderId="6" xfId="1" applyNumberFormat="1" applyFill="1" applyBorder="1" applyAlignment="1" applyProtection="1">
      <alignment horizontal="center"/>
      <protection locked="0"/>
    </xf>
    <xf numFmtId="10" fontId="0" fillId="0" borderId="6" xfId="2" applyNumberFormat="1" applyFont="1" applyFill="1" applyBorder="1" applyAlignment="1" applyProtection="1">
      <alignment horizontal="center"/>
    </xf>
    <xf numFmtId="0" fontId="2" fillId="2" borderId="14" xfId="1" applyFill="1" applyBorder="1" applyProtection="1"/>
    <xf numFmtId="10" fontId="2" fillId="0" borderId="0" xfId="1" applyNumberFormat="1" applyProtection="1">
      <protection locked="0"/>
    </xf>
    <xf numFmtId="0" fontId="0" fillId="0" borderId="0" xfId="0" applyFont="1" applyProtection="1">
      <protection locked="0"/>
    </xf>
    <xf numFmtId="2" fontId="2" fillId="0" borderId="0" xfId="1" applyNumberFormat="1" applyProtection="1">
      <protection locked="0"/>
    </xf>
    <xf numFmtId="0" fontId="10" fillId="2" borderId="0" xfId="0" applyFont="1" applyFill="1"/>
    <xf numFmtId="10" fontId="2" fillId="0" borderId="0" xfId="1" applyNumberFormat="1" applyAlignment="1" applyProtection="1">
      <alignment horizontal="center"/>
      <protection locked="0"/>
    </xf>
    <xf numFmtId="0" fontId="2" fillId="0" borderId="0" xfId="1" applyAlignment="1" applyProtection="1">
      <alignment horizontal="center"/>
      <protection locked="0"/>
    </xf>
    <xf numFmtId="10" fontId="2" fillId="0" borderId="6" xfId="1" applyNumberFormat="1" applyBorder="1" applyAlignment="1" applyProtection="1">
      <alignment horizontal="center"/>
      <protection locked="0"/>
    </xf>
    <xf numFmtId="0" fontId="10" fillId="4" borderId="4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0" fillId="4" borderId="5" xfId="0" applyFont="1" applyFill="1" applyBorder="1" applyAlignment="1">
      <alignment horizontal="center"/>
    </xf>
    <xf numFmtId="0" fontId="10" fillId="4" borderId="4" xfId="0" quotePrefix="1" applyFont="1" applyFill="1" applyBorder="1" applyAlignment="1">
      <alignment horizontal="center"/>
    </xf>
    <xf numFmtId="0" fontId="10" fillId="4" borderId="0" xfId="0" quotePrefix="1" applyFont="1" applyFill="1" applyBorder="1" applyAlignment="1">
      <alignment horizontal="center"/>
    </xf>
    <xf numFmtId="0" fontId="10" fillId="4" borderId="5" xfId="0" quotePrefix="1" applyFont="1" applyFill="1" applyBorder="1" applyAlignment="1">
      <alignment horizontal="center"/>
    </xf>
    <xf numFmtId="0" fontId="10" fillId="4" borderId="7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3" fillId="4" borderId="4" xfId="0" quotePrefix="1" applyFont="1" applyFill="1" applyBorder="1" applyAlignment="1">
      <alignment horizontal="center"/>
    </xf>
    <xf numFmtId="0" fontId="13" fillId="4" borderId="0" xfId="0" quotePrefix="1" applyFont="1" applyFill="1" applyBorder="1" applyAlignment="1">
      <alignment horizontal="center"/>
    </xf>
    <xf numFmtId="0" fontId="13" fillId="4" borderId="5" xfId="0" quotePrefix="1" applyFont="1" applyFill="1" applyBorder="1" applyAlignment="1">
      <alignment horizontal="center"/>
    </xf>
    <xf numFmtId="0" fontId="12" fillId="4" borderId="4" xfId="0" quotePrefix="1" applyFont="1" applyFill="1" applyBorder="1" applyAlignment="1">
      <alignment horizontal="center"/>
    </xf>
    <xf numFmtId="0" fontId="12" fillId="4" borderId="0" xfId="0" quotePrefix="1" applyFont="1" applyFill="1" applyBorder="1" applyAlignment="1">
      <alignment horizontal="center"/>
    </xf>
    <xf numFmtId="0" fontId="12" fillId="4" borderId="5" xfId="0" quotePrefix="1" applyFont="1" applyFill="1" applyBorder="1" applyAlignment="1">
      <alignment horizontal="center"/>
    </xf>
    <xf numFmtId="0" fontId="14" fillId="4" borderId="4" xfId="0" quotePrefix="1" applyFont="1" applyFill="1" applyBorder="1" applyAlignment="1">
      <alignment horizontal="center"/>
    </xf>
    <xf numFmtId="0" fontId="14" fillId="4" borderId="0" xfId="0" quotePrefix="1" applyFont="1" applyFill="1" applyBorder="1" applyAlignment="1">
      <alignment horizontal="center"/>
    </xf>
    <xf numFmtId="0" fontId="14" fillId="4" borderId="5" xfId="0" quotePrefix="1" applyFont="1" applyFill="1" applyBorder="1" applyAlignment="1">
      <alignment horizontal="center"/>
    </xf>
    <xf numFmtId="0" fontId="15" fillId="4" borderId="4" xfId="0" quotePrefix="1" applyFont="1" applyFill="1" applyBorder="1" applyAlignment="1">
      <alignment horizontal="center"/>
    </xf>
    <xf numFmtId="0" fontId="17" fillId="4" borderId="4" xfId="0" quotePrefix="1" applyFont="1" applyFill="1" applyBorder="1" applyAlignment="1">
      <alignment horizontal="center"/>
    </xf>
    <xf numFmtId="0" fontId="11" fillId="4" borderId="24" xfId="0" quotePrefix="1" applyFont="1" applyFill="1" applyBorder="1" applyAlignment="1">
      <alignment horizontal="center"/>
    </xf>
    <xf numFmtId="0" fontId="11" fillId="4" borderId="25" xfId="0" quotePrefix="1" applyFont="1" applyFill="1" applyBorder="1" applyAlignment="1">
      <alignment horizontal="center"/>
    </xf>
    <xf numFmtId="0" fontId="11" fillId="4" borderId="26" xfId="0" quotePrefix="1" applyFont="1" applyFill="1" applyBorder="1" applyAlignment="1">
      <alignment horizontal="center"/>
    </xf>
    <xf numFmtId="0" fontId="2" fillId="2" borderId="14" xfId="1" applyFill="1" applyBorder="1" applyAlignment="1" applyProtection="1">
      <alignment horizontal="center"/>
    </xf>
    <xf numFmtId="0" fontId="2" fillId="2" borderId="14" xfId="1" quotePrefix="1" applyFill="1" applyBorder="1" applyAlignment="1" applyProtection="1">
      <alignment horizontal="center"/>
    </xf>
  </cellXfs>
  <cellStyles count="3">
    <cellStyle name="Normal 2" xfId="1"/>
    <cellStyle name="Normale" xfId="0" builtinId="0"/>
    <cellStyle name="Percent 2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97715658629"/>
          <c:y val="7.861659362898496E-2"/>
          <c:w val="0.83840382010810965"/>
          <c:h val="0.72956198887697477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MyData!$O$2:$O$27</c:f>
              <c:numCache>
                <c:formatCode>General</c:formatCode>
                <c:ptCount val="26"/>
                <c:pt idx="0">
                  <c:v>0.01</c:v>
                </c:pt>
                <c:pt idx="1">
                  <c:v>8.9599999999999999E-2</c:v>
                </c:pt>
                <c:pt idx="2">
                  <c:v>0.16920000000000002</c:v>
                </c:pt>
                <c:pt idx="3">
                  <c:v>0.24880000000000002</c:v>
                </c:pt>
                <c:pt idx="4">
                  <c:v>0.32840000000000003</c:v>
                </c:pt>
                <c:pt idx="5">
                  <c:v>0.40800000000000003</c:v>
                </c:pt>
                <c:pt idx="6">
                  <c:v>0.48760000000000003</c:v>
                </c:pt>
                <c:pt idx="7">
                  <c:v>0.56720000000000004</c:v>
                </c:pt>
                <c:pt idx="8">
                  <c:v>0.64680000000000004</c:v>
                </c:pt>
                <c:pt idx="9">
                  <c:v>0.72640000000000005</c:v>
                </c:pt>
                <c:pt idx="10">
                  <c:v>0.80600000000000005</c:v>
                </c:pt>
                <c:pt idx="11">
                  <c:v>0.88560000000000005</c:v>
                </c:pt>
                <c:pt idx="12">
                  <c:v>0.96520000000000006</c:v>
                </c:pt>
                <c:pt idx="13">
                  <c:v>1.0448</c:v>
                </c:pt>
                <c:pt idx="14">
                  <c:v>1.1244000000000001</c:v>
                </c:pt>
                <c:pt idx="15">
                  <c:v>1.204</c:v>
                </c:pt>
                <c:pt idx="16">
                  <c:v>1.2836000000000001</c:v>
                </c:pt>
                <c:pt idx="17">
                  <c:v>1.3632</c:v>
                </c:pt>
                <c:pt idx="18">
                  <c:v>1.4428000000000001</c:v>
                </c:pt>
                <c:pt idx="19">
                  <c:v>1.5224</c:v>
                </c:pt>
                <c:pt idx="20">
                  <c:v>1.6020000000000001</c:v>
                </c:pt>
                <c:pt idx="21">
                  <c:v>1.6816</c:v>
                </c:pt>
                <c:pt idx="22">
                  <c:v>1.7612000000000001</c:v>
                </c:pt>
                <c:pt idx="23">
                  <c:v>1.8408</c:v>
                </c:pt>
                <c:pt idx="24">
                  <c:v>1.9204000000000001</c:v>
                </c:pt>
                <c:pt idx="25">
                  <c:v>2</c:v>
                </c:pt>
              </c:numCache>
            </c:numRef>
          </c:xVal>
          <c:yVal>
            <c:numRef>
              <c:f>MyData!$P$2:$P$27</c:f>
              <c:numCache>
                <c:formatCode>0.00E+00</c:formatCode>
                <c:ptCount val="26"/>
                <c:pt idx="0">
                  <c:v>4.8274893261836631</c:v>
                </c:pt>
                <c:pt idx="1">
                  <c:v>8.2796913649559833</c:v>
                </c:pt>
                <c:pt idx="2">
                  <c:v>12.435254903419718</c:v>
                </c:pt>
                <c:pt idx="3">
                  <c:v>16.453303215751276</c:v>
                </c:pt>
                <c:pt idx="4">
                  <c:v>20.284512106373626</c:v>
                </c:pt>
                <c:pt idx="5">
                  <c:v>23.923350344943032</c:v>
                </c:pt>
                <c:pt idx="6">
                  <c:v>27.372581341853849</c:v>
                </c:pt>
                <c:pt idx="7">
                  <c:v>30.637411036938492</c:v>
                </c:pt>
                <c:pt idx="8">
                  <c:v>33.723941567341754</c:v>
                </c:pt>
                <c:pt idx="9">
                  <c:v>36.638633660438742</c:v>
                </c:pt>
                <c:pt idx="10">
                  <c:v>39.388080836845361</c:v>
                </c:pt>
                <c:pt idx="11">
                  <c:v>41.978900110909194</c:v>
                </c:pt>
                <c:pt idx="12">
                  <c:v>44.417672342241232</c:v>
                </c:pt>
                <c:pt idx="13">
                  <c:v>46.710906063117562</c:v>
                </c:pt>
                <c:pt idx="14">
                  <c:v>48.865013427064227</c:v>
                </c:pt>
                <c:pt idx="15">
                  <c:v>50.886292939985935</c:v>
                </c:pt>
                <c:pt idx="16">
                  <c:v>52.780916295406954</c:v>
                </c:pt>
                <c:pt idx="17">
                  <c:v>54.554917896054718</c:v>
                </c:pt>
                <c:pt idx="18">
                  <c:v>56.214186276319481</c:v>
                </c:pt>
                <c:pt idx="19">
                  <c:v>57.764456972373196</c:v>
                </c:pt>
                <c:pt idx="20">
                  <c:v>59.211306568040726</c:v>
                </c:pt>
                <c:pt idx="21">
                  <c:v>60.56014774643532</c:v>
                </c:pt>
                <c:pt idx="22">
                  <c:v>61.816225235930247</c:v>
                </c:pt>
                <c:pt idx="23">
                  <c:v>62.984612573127407</c:v>
                </c:pt>
                <c:pt idx="24">
                  <c:v>64.07020962541911</c:v>
                </c:pt>
                <c:pt idx="25">
                  <c:v>65.077740827258097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0-4C07-B249-511DCF712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27336"/>
        <c:axId val="1"/>
      </c:scatterChart>
      <c:valAx>
        <c:axId val="503527336"/>
        <c:scaling>
          <c:orientation val="minMax"/>
          <c:max val="2"/>
          <c:min val="1.0000000000000005E-2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46007644481702142"/>
              <c:y val="0.89308440218557583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Option Price</a:t>
                </a:r>
              </a:p>
            </c:rich>
          </c:tx>
          <c:layout>
            <c:manualLayout>
              <c:xMode val="edge"/>
              <c:yMode val="edge"/>
              <c:x val="2.4714828897338403E-2"/>
              <c:y val="0.333334323775565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503527336"/>
        <c:crosses val="autoZero"/>
        <c:crossBetween val="midCat"/>
      </c:valAx>
      <c:spPr>
        <a:solidFill>
          <a:srgbClr val="C0C0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>
      <c:oddHeader>&amp;A</c:oddHeader>
      <c:oddFooter>Page &amp;P</c:oddFooter>
    </c:headerFooter>
    <c:pageMargins b="1" l="0.75000000000000522" r="0.750000000000005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75696362563823"/>
          <c:y val="9.1633466135458766E-2"/>
          <c:w val="0.77567669931996863"/>
          <c:h val="0.669322709163346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MyData!$R$2:$R$27</c:f>
              <c:numCache>
                <c:formatCode>General</c:formatCode>
                <c:ptCount val="26"/>
                <c:pt idx="0">
                  <c:v>-0.01</c:v>
                </c:pt>
                <c:pt idx="1">
                  <c:v>-9.1999999999999998E-3</c:v>
                </c:pt>
                <c:pt idx="2">
                  <c:v>-8.3999999999999995E-3</c:v>
                </c:pt>
                <c:pt idx="3">
                  <c:v>-7.6E-3</c:v>
                </c:pt>
                <c:pt idx="4">
                  <c:v>-6.8000000000000005E-3</c:v>
                </c:pt>
                <c:pt idx="5">
                  <c:v>-6.0000000000000001E-3</c:v>
                </c:pt>
                <c:pt idx="6">
                  <c:v>-5.1999999999999998E-3</c:v>
                </c:pt>
                <c:pt idx="7">
                  <c:v>-4.4000000000000003E-3</c:v>
                </c:pt>
                <c:pt idx="8">
                  <c:v>-3.5999999999999999E-3</c:v>
                </c:pt>
                <c:pt idx="9">
                  <c:v>-2.8E-3</c:v>
                </c:pt>
                <c:pt idx="10">
                  <c:v>-2E-3</c:v>
                </c:pt>
                <c:pt idx="11">
                  <c:v>-1.1999999999999997E-3</c:v>
                </c:pt>
                <c:pt idx="12">
                  <c:v>-3.9999999999999975E-4</c:v>
                </c:pt>
                <c:pt idx="13">
                  <c:v>4.0000000000000029E-4</c:v>
                </c:pt>
                <c:pt idx="14">
                  <c:v>1.2000000000000003E-3</c:v>
                </c:pt>
                <c:pt idx="15">
                  <c:v>2.0000000000000005E-3</c:v>
                </c:pt>
                <c:pt idx="16">
                  <c:v>2.8000000000000004E-3</c:v>
                </c:pt>
                <c:pt idx="17">
                  <c:v>3.6000000000000003E-3</c:v>
                </c:pt>
                <c:pt idx="18">
                  <c:v>4.4000000000000003E-3</c:v>
                </c:pt>
                <c:pt idx="19">
                  <c:v>5.2000000000000006E-3</c:v>
                </c:pt>
                <c:pt idx="20">
                  <c:v>6.0000000000000001E-3</c:v>
                </c:pt>
                <c:pt idx="21">
                  <c:v>6.8000000000000005E-3</c:v>
                </c:pt>
                <c:pt idx="22">
                  <c:v>7.6000000000000009E-3</c:v>
                </c:pt>
                <c:pt idx="23">
                  <c:v>8.4000000000000012E-3</c:v>
                </c:pt>
                <c:pt idx="24">
                  <c:v>9.1999999999999998E-3</c:v>
                </c:pt>
                <c:pt idx="25">
                  <c:v>0.01</c:v>
                </c:pt>
              </c:numCache>
            </c:numRef>
          </c:xVal>
          <c:yVal>
            <c:numRef>
              <c:f>MyData!$S$2:$S$27</c:f>
              <c:numCache>
                <c:formatCode>0.00E+00</c:formatCode>
                <c:ptCount val="26"/>
                <c:pt idx="0" formatCode="General">
                  <c:v>1.2160895128669236</c:v>
                </c:pt>
                <c:pt idx="1">
                  <c:v>1.234781699160199</c:v>
                </c:pt>
                <c:pt idx="2">
                  <c:v>1.2445366350803755</c:v>
                </c:pt>
                <c:pt idx="3">
                  <c:v>1.2451297734987854</c:v>
                </c:pt>
                <c:pt idx="4">
                  <c:v>1.2365476683832077</c:v>
                </c:pt>
                <c:pt idx="5">
                  <c:v>1.2189823648604703</c:v>
                </c:pt>
                <c:pt idx="6">
                  <c:v>1.1928261525901473</c:v>
                </c:pt>
                <c:pt idx="7" formatCode="General">
                  <c:v>1.1586456730232153</c:v>
                </c:pt>
                <c:pt idx="8" formatCode="General">
                  <c:v>1.1171669220796376</c:v>
                </c:pt>
                <c:pt idx="9" formatCode="General">
                  <c:v>1.069251110469791</c:v>
                </c:pt>
                <c:pt idx="10" formatCode="General">
                  <c:v>1.0158655150395024</c:v>
                </c:pt>
                <c:pt idx="11" formatCode="General">
                  <c:v>0.95805113594860991</c:v>
                </c:pt>
                <c:pt idx="12" formatCode="General">
                  <c:v>0.89688894758545246</c:v>
                </c:pt>
                <c:pt idx="13" formatCode="General">
                  <c:v>0.83346643007114363</c:v>
                </c:pt>
                <c:pt idx="14" formatCode="General">
                  <c:v>0.76884589852315166</c:v>
                </c:pt>
                <c:pt idx="15" formatCode="General">
                  <c:v>0.70403591926905484</c:v>
                </c:pt>
                <c:pt idx="16" formatCode="General">
                  <c:v>0.6399668303650019</c:v>
                </c:pt>
                <c:pt idx="17">
                  <c:v>0.57747108498376942</c:v>
                </c:pt>
                <c:pt idx="18">
                  <c:v>0.51726882865636092</c:v>
                </c:pt>
                <c:pt idx="19">
                  <c:v>0.45995882273293098</c:v>
                </c:pt>
                <c:pt idx="20">
                  <c:v>0.40601455287176513</c:v>
                </c:pt>
                <c:pt idx="21">
                  <c:v>0.35578512616326385</c:v>
                </c:pt>
                <c:pt idx="22">
                  <c:v>0.30950037333315805</c:v>
                </c:pt>
                <c:pt idx="23">
                  <c:v>0.26727943903058993</c:v>
                </c:pt>
                <c:pt idx="24" formatCode="General">
                  <c:v>0.2291420650704179</c:v>
                </c:pt>
                <c:pt idx="25">
                  <c:v>0.19502174648144077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DE-4AFB-8FB4-C06333B0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72840"/>
        <c:axId val="1"/>
      </c:scatterChart>
      <c:valAx>
        <c:axId val="314472840"/>
        <c:scaling>
          <c:orientation val="minMax"/>
          <c:max val="1.0000000000000005E-2"/>
          <c:min val="-1.0000000000000005E-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Parallel Rate Shift</a:t>
                </a:r>
              </a:p>
            </c:rich>
          </c:tx>
          <c:layout>
            <c:manualLayout>
              <c:xMode val="edge"/>
              <c:yMode val="edge"/>
              <c:x val="0.41351408101014397"/>
              <c:y val="0.868525896414342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3.2432432432432434E-2"/>
              <c:y val="0.286852589641434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314472840"/>
        <c:crosses val="autoZero"/>
        <c:crossBetween val="midCat"/>
      </c:valAx>
      <c:spPr>
        <a:solidFill>
          <a:srgbClr val="C0C0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>
      <c:oddHeader>&amp;A</c:oddHeader>
      <c:oddFooter>Page &amp;P</c:oddFooter>
    </c:headerFooter>
    <c:pageMargins b="1" l="0.75000000000000522" r="0.750000000000005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03743315508227"/>
          <c:y val="9.9206733657047005E-2"/>
          <c:w val="0.77272727272727915"/>
          <c:h val="0.6706375195216376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MyData!$U$2:$U$27</c:f>
              <c:numCache>
                <c:formatCode>General</c:formatCode>
                <c:ptCount val="26"/>
                <c:pt idx="0">
                  <c:v>0.91</c:v>
                </c:pt>
                <c:pt idx="1">
                  <c:v>1.0736000000000001</c:v>
                </c:pt>
                <c:pt idx="2">
                  <c:v>1.2372000000000001</c:v>
                </c:pt>
                <c:pt idx="3">
                  <c:v>1.4008</c:v>
                </c:pt>
                <c:pt idx="4">
                  <c:v>1.5644</c:v>
                </c:pt>
                <c:pt idx="5">
                  <c:v>1.728</c:v>
                </c:pt>
                <c:pt idx="6">
                  <c:v>1.8915999999999999</c:v>
                </c:pt>
                <c:pt idx="7">
                  <c:v>2.0552000000000001</c:v>
                </c:pt>
                <c:pt idx="8">
                  <c:v>2.2187999999999999</c:v>
                </c:pt>
                <c:pt idx="9">
                  <c:v>2.3824000000000001</c:v>
                </c:pt>
                <c:pt idx="10">
                  <c:v>2.5459999999999998</c:v>
                </c:pt>
                <c:pt idx="11">
                  <c:v>2.7096</c:v>
                </c:pt>
                <c:pt idx="12">
                  <c:v>2.8731999999999998</c:v>
                </c:pt>
                <c:pt idx="13">
                  <c:v>3.0367999999999999</c:v>
                </c:pt>
                <c:pt idx="14">
                  <c:v>3.2004000000000001</c:v>
                </c:pt>
                <c:pt idx="15">
                  <c:v>3.3639999999999999</c:v>
                </c:pt>
                <c:pt idx="16">
                  <c:v>3.5276000000000001</c:v>
                </c:pt>
                <c:pt idx="17">
                  <c:v>3.6911999999999998</c:v>
                </c:pt>
                <c:pt idx="18">
                  <c:v>3.8548</c:v>
                </c:pt>
                <c:pt idx="19">
                  <c:v>4.0183999999999997</c:v>
                </c:pt>
                <c:pt idx="20">
                  <c:v>4.1820000000000004</c:v>
                </c:pt>
                <c:pt idx="21">
                  <c:v>4.3456000000000001</c:v>
                </c:pt>
                <c:pt idx="22">
                  <c:v>4.5091999999999999</c:v>
                </c:pt>
                <c:pt idx="23">
                  <c:v>4.6727999999999996</c:v>
                </c:pt>
                <c:pt idx="24">
                  <c:v>4.8364000000000003</c:v>
                </c:pt>
                <c:pt idx="25">
                  <c:v>5</c:v>
                </c:pt>
              </c:numCache>
            </c:numRef>
          </c:xVal>
          <c:yVal>
            <c:numRef>
              <c:f>MyData!$V$2:$V$27</c:f>
              <c:numCache>
                <c:formatCode>0.00E+00</c:formatCode>
                <c:ptCount val="26"/>
                <c:pt idx="0">
                  <c:v>1.5512176327570548E-2</c:v>
                </c:pt>
                <c:pt idx="1">
                  <c:v>0.24840371810319201</c:v>
                </c:pt>
                <c:pt idx="2" formatCode="General">
                  <c:v>0.44510462484285729</c:v>
                </c:pt>
                <c:pt idx="3" formatCode="General">
                  <c:v>0.63108854224324529</c:v>
                </c:pt>
                <c:pt idx="4" formatCode="General">
                  <c:v>0.80305262327687099</c:v>
                </c:pt>
                <c:pt idx="5" formatCode="General">
                  <c:v>0.9598845062175424</c:v>
                </c:pt>
                <c:pt idx="6" formatCode="General">
                  <c:v>1.1071739815945039</c:v>
                </c:pt>
                <c:pt idx="7" formatCode="General">
                  <c:v>1.2422139505073277</c:v>
                </c:pt>
                <c:pt idx="8" formatCode="General">
                  <c:v>1.3643993348439203</c:v>
                </c:pt>
                <c:pt idx="9" formatCode="General">
                  <c:v>1.4791402154494862</c:v>
                </c:pt>
                <c:pt idx="10" formatCode="General">
                  <c:v>1.5840350688198133</c:v>
                </c:pt>
                <c:pt idx="11" formatCode="General">
                  <c:v>1.6786809397251439</c:v>
                </c:pt>
                <c:pt idx="12" formatCode="General">
                  <c:v>1.7680400567492833</c:v>
                </c:pt>
                <c:pt idx="13" formatCode="General">
                  <c:v>1.8498018247549972</c:v>
                </c:pt>
                <c:pt idx="14" formatCode="General">
                  <c:v>1.9236119863137788</c:v>
                </c:pt>
                <c:pt idx="15" formatCode="General">
                  <c:v>1.9938892311678571</c:v>
                </c:pt>
                <c:pt idx="16" formatCode="General">
                  <c:v>2.0583591117773206</c:v>
                </c:pt>
                <c:pt idx="17" formatCode="General">
                  <c:v>2.1166945726614181</c:v>
                </c:pt>
                <c:pt idx="18" formatCode="General">
                  <c:v>2.1727751053252735</c:v>
                </c:pt>
                <c:pt idx="19" formatCode="General">
                  <c:v>2.2219234687289267</c:v>
                </c:pt>
                <c:pt idx="20" formatCode="General">
                  <c:v>2.2712316815854261</c:v>
                </c:pt>
                <c:pt idx="21">
                  <c:v>2.3167081847831876</c:v>
                </c:pt>
                <c:pt idx="22" formatCode="General">
                  <c:v>2.356412494057027</c:v>
                </c:pt>
                <c:pt idx="23" formatCode="General">
                  <c:v>2.3969356892600913</c:v>
                </c:pt>
                <c:pt idx="24" formatCode="General">
                  <c:v>2.4344032267268552</c:v>
                </c:pt>
                <c:pt idx="25">
                  <c:v>2.4669887341426464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9-4B6D-88E7-E5388381A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273336"/>
        <c:axId val="1"/>
      </c:scatterChart>
      <c:valAx>
        <c:axId val="318273336"/>
        <c:scaling>
          <c:orientation val="minMax"/>
          <c:max val="5"/>
          <c:min val="0.9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Cap/Floor End</a:t>
                </a:r>
              </a:p>
            </c:rich>
          </c:tx>
          <c:layout>
            <c:manualLayout>
              <c:xMode val="edge"/>
              <c:yMode val="edge"/>
              <c:x val="0.39304817200880193"/>
              <c:y val="0.8769872614090777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Option Price</a:t>
                </a:r>
              </a:p>
            </c:rich>
          </c:tx>
          <c:layout>
            <c:manualLayout>
              <c:xMode val="edge"/>
              <c:yMode val="edge"/>
              <c:x val="3.2085474164214318E-2"/>
              <c:y val="0.373016998529634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318273336"/>
        <c:crosses val="autoZero"/>
        <c:crossBetween val="midCat"/>
      </c:valAx>
      <c:spPr>
        <a:solidFill>
          <a:srgbClr val="C0C0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>
      <c:oddHeader>&amp;A</c:oddHeader>
      <c:oddFooter>Page &amp;P</c:oddFooter>
    </c:headerFooter>
    <c:pageMargins b="1" l="0.75000000000000522" r="0.750000000000005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Cont. Compounded Hazard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463617463617465"/>
          <c:y val="0.14435695538057744"/>
          <c:w val="0.77754677754677759"/>
          <c:h val="0.66404199475065617"/>
        </c:manualLayout>
      </c:layout>
      <c:scatterChart>
        <c:scatterStyle val="lineMarker"/>
        <c:varyColors val="0"/>
        <c:ser>
          <c:idx val="0"/>
          <c:order val="0"/>
          <c:spPr>
            <a:ln w="22225"/>
          </c:spPr>
          <c:marker>
            <c:symbol val="none"/>
          </c:marker>
          <c:xVal>
            <c:numRef>
              <c:f>MyData!$X$2:$X$31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1.0001</c:v>
                </c:pt>
                <c:pt idx="3">
                  <c:v>5</c:v>
                </c:pt>
                <c:pt idx="4">
                  <c:v>5.0000999999999998</c:v>
                </c:pt>
                <c:pt idx="5">
                  <c:v>10</c:v>
                </c:pt>
                <c:pt idx="6">
                  <c:v>10.000999999999999</c:v>
                </c:pt>
                <c:pt idx="7">
                  <c:v>11.25</c:v>
                </c:pt>
                <c:pt idx="8">
                  <c:v>11.875</c:v>
                </c:pt>
                <c:pt idx="9">
                  <c:v>12.5</c:v>
                </c:pt>
                <c:pt idx="10">
                  <c:v>13.125</c:v>
                </c:pt>
                <c:pt idx="11">
                  <c:v>13.75</c:v>
                </c:pt>
                <c:pt idx="12">
                  <c:v>14.375</c:v>
                </c:pt>
                <c:pt idx="13">
                  <c:v>15</c:v>
                </c:pt>
                <c:pt idx="14">
                  <c:v>15.625</c:v>
                </c:pt>
                <c:pt idx="15">
                  <c:v>16.25</c:v>
                </c:pt>
                <c:pt idx="16">
                  <c:v>16.875</c:v>
                </c:pt>
                <c:pt idx="17">
                  <c:v>17.5</c:v>
                </c:pt>
                <c:pt idx="18">
                  <c:v>18.125</c:v>
                </c:pt>
                <c:pt idx="19">
                  <c:v>18.75</c:v>
                </c:pt>
                <c:pt idx="20">
                  <c:v>19.375</c:v>
                </c:pt>
                <c:pt idx="21">
                  <c:v>20</c:v>
                </c:pt>
                <c:pt idx="22">
                  <c:v>20.625</c:v>
                </c:pt>
                <c:pt idx="23">
                  <c:v>21.25</c:v>
                </c:pt>
                <c:pt idx="24">
                  <c:v>21.875</c:v>
                </c:pt>
                <c:pt idx="25">
                  <c:v>22.5</c:v>
                </c:pt>
                <c:pt idx="26">
                  <c:v>23.125</c:v>
                </c:pt>
                <c:pt idx="27">
                  <c:v>23.75</c:v>
                </c:pt>
                <c:pt idx="28">
                  <c:v>24.375</c:v>
                </c:pt>
                <c:pt idx="29">
                  <c:v>25</c:v>
                </c:pt>
              </c:numCache>
            </c:numRef>
          </c:xVal>
          <c:yVal>
            <c:numRef>
              <c:f>MyData!$Y$2:$Y$31</c:f>
              <c:numCache>
                <c:formatCode>General</c:formatCode>
                <c:ptCount val="30"/>
                <c:pt idx="0">
                  <c:v>1.6604437030390714E-2</c:v>
                </c:pt>
                <c:pt idx="1">
                  <c:v>1.6604437030390714E-2</c:v>
                </c:pt>
                <c:pt idx="2">
                  <c:v>2.7284234377533773E-2</c:v>
                </c:pt>
                <c:pt idx="3">
                  <c:v>2.7284234377533773E-2</c:v>
                </c:pt>
                <c:pt idx="4">
                  <c:v>3.4677114038678764E-2</c:v>
                </c:pt>
                <c:pt idx="5">
                  <c:v>3.4677114038678764E-2</c:v>
                </c:pt>
                <c:pt idx="6">
                  <c:v>3.9396702351745229E-2</c:v>
                </c:pt>
                <c:pt idx="7">
                  <c:v>3.9396702351745229E-2</c:v>
                </c:pt>
                <c:pt idx="8">
                  <c:v>3.9396702351745229E-2</c:v>
                </c:pt>
                <c:pt idx="9">
                  <c:v>3.9396702351745229E-2</c:v>
                </c:pt>
                <c:pt idx="10">
                  <c:v>3.9396702351745229E-2</c:v>
                </c:pt>
                <c:pt idx="11">
                  <c:v>3.9396702351745229E-2</c:v>
                </c:pt>
                <c:pt idx="12">
                  <c:v>3.9396702351745229E-2</c:v>
                </c:pt>
                <c:pt idx="13">
                  <c:v>3.9396702351745229E-2</c:v>
                </c:pt>
                <c:pt idx="14">
                  <c:v>3.9396702351745229E-2</c:v>
                </c:pt>
                <c:pt idx="15">
                  <c:v>3.9396702351745229E-2</c:v>
                </c:pt>
                <c:pt idx="16">
                  <c:v>3.9396702351745229E-2</c:v>
                </c:pt>
                <c:pt idx="17">
                  <c:v>3.9396702351745229E-2</c:v>
                </c:pt>
                <c:pt idx="18">
                  <c:v>3.9396702351745229E-2</c:v>
                </c:pt>
                <c:pt idx="19">
                  <c:v>3.9396702351745229E-2</c:v>
                </c:pt>
                <c:pt idx="20">
                  <c:v>3.9396702351745229E-2</c:v>
                </c:pt>
                <c:pt idx="21">
                  <c:v>3.9396702351745229E-2</c:v>
                </c:pt>
                <c:pt idx="22">
                  <c:v>3.9396702351745229E-2</c:v>
                </c:pt>
                <c:pt idx="23">
                  <c:v>3.9396702351745229E-2</c:v>
                </c:pt>
                <c:pt idx="24">
                  <c:v>3.9396702351745229E-2</c:v>
                </c:pt>
                <c:pt idx="25">
                  <c:v>3.9396702351745229E-2</c:v>
                </c:pt>
                <c:pt idx="26">
                  <c:v>3.9396702351745229E-2</c:v>
                </c:pt>
                <c:pt idx="27">
                  <c:v>3.9396702351745229E-2</c:v>
                </c:pt>
                <c:pt idx="28">
                  <c:v>3.9396702351745229E-2</c:v>
                </c:pt>
                <c:pt idx="29">
                  <c:v>3.9396702351745229E-2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2-4C16-80C3-C589F30E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23400"/>
        <c:axId val="1"/>
      </c:scatterChart>
      <c:valAx>
        <c:axId val="503523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(Yrs)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3523400"/>
        <c:crosses val="autoZero"/>
        <c:crossBetween val="midCat"/>
      </c:valAx>
      <c:spPr>
        <a:solidFill>
          <a:srgbClr val="CCCCFF"/>
        </a:solidFill>
      </c:spPr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Radio" firstButton="1" fmlaLink="MyData!$B$24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6" fmlaLink="MyData!$B$18" fmlaRange="MyData!$A$19:$A$22" noThreeD="1" sel="1" val="0"/>
</file>

<file path=xl/ctrlProps/ctrlProp5.xml><?xml version="1.0" encoding="utf-8"?>
<formControlPr xmlns="http://schemas.microsoft.com/office/spreadsheetml/2009/9/main" objectType="Drop" dropStyle="combo" dx="26" fmlaLink="MyData!$B$1" fmlaRange="MyData!$A$2:$A$16" noThreeD="1" sel="3" val="0"/>
</file>

<file path=xl/ctrlProps/ctrlProp6.xml><?xml version="1.0" encoding="utf-8"?>
<formControlPr xmlns="http://schemas.microsoft.com/office/spreadsheetml/2009/9/main" objectType="CheckBox" fmlaLink="MyData!$B$28" lockText="1" noThreeD="1"/>
</file>

<file path=xl/ctrlProps/ctrlProp7.xml><?xml version="1.0" encoding="utf-8"?>
<formControlPr xmlns="http://schemas.microsoft.com/office/spreadsheetml/2009/9/main" objectType="Drop" dropStyle="combo" dx="26" fmlaLink="MyData!$B$30" fmlaRange="MyData!$A$31:$A$35" noThreeD="1" sel="5" val="0"/>
</file>

<file path=xl/ctrlProps/ctrlProp8.xml><?xml version="1.0" encoding="utf-8"?>
<formControlPr xmlns="http://schemas.microsoft.com/office/spreadsheetml/2009/9/main" objectType="Drop" dropStyle="combo" dx="26" fmlaLink="MyData!$B$37" fmlaRange="MyData!$A$38:$A$43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checked="Checked" firstButton="1" fmlaLink="MyData!$B$60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CheckBox" fmlaLink="MyData!$B$64" lockText="1" noThreeD="1"/>
</file>

<file path=xl/ctrlProps/ctrlProp17.xml><?xml version="1.0" encoding="utf-8"?>
<formControlPr xmlns="http://schemas.microsoft.com/office/spreadsheetml/2009/9/main" objectType="CheckBox" fmlaLink="MyData!$B$62" lockText="1" noThreeD="1"/>
</file>

<file path=xl/ctrlProps/ctrlProp18.xml><?xml version="1.0" encoding="utf-8"?>
<formControlPr xmlns="http://schemas.microsoft.com/office/spreadsheetml/2009/9/main" objectType="Drop" dropStyle="combo" dx="26" fmlaLink="MyData!$B$75" fmlaRange="MyData!$A$76:$A$79" noThreeD="1" sel="4" val="0"/>
</file>

<file path=xl/ctrlProps/ctrlProp19.xml><?xml version="1.0" encoding="utf-8"?>
<formControlPr xmlns="http://schemas.microsoft.com/office/spreadsheetml/2009/9/main" objectType="Drop" dropStyle="combo" dx="26" fmlaLink="MyData!$B$68" fmlaRange="MyData!$A$69:$A$73" noThreeD="1" sel="1" val="0"/>
</file>

<file path=xl/ctrlProps/ctrlProp20.xml><?xml version="1.0" encoding="utf-8"?>
<formControlPr xmlns="http://schemas.microsoft.com/office/spreadsheetml/2009/9/main" objectType="Drop" dropStyle="combo" dx="26" fmlaLink="MyData!$B$52" fmlaRange="MyData!$A$53:$A$58" noThreeD="1" sel="1" val="0"/>
</file>

<file path=xl/ctrlProps/ctrlProp21.xml><?xml version="1.0" encoding="utf-8"?>
<formControlPr xmlns="http://schemas.microsoft.com/office/spreadsheetml/2009/9/main" objectType="Drop" dropStyle="combo" dx="26" fmlaLink="MyData!$B$47" fmlaRange="MyData!$A$48:$A$50" noThreeD="1" sel="2" val="0"/>
</file>

<file path=xl/ctrlProps/ctrlProp22.xml><?xml version="1.0" encoding="utf-8"?>
<formControlPr xmlns="http://schemas.microsoft.com/office/spreadsheetml/2009/9/main" objectType="Drop" dropLines="2" dropStyle="combo" dx="26" fmlaLink="MyData!$B$95" fmlaRange="MyData!$A$96:$A$97" noThreeD="1" sel="2" val="0"/>
</file>

<file path=xl/ctrlProps/ctrlProp23.xml><?xml version="1.0" encoding="utf-8"?>
<formControlPr xmlns="http://schemas.microsoft.com/office/spreadsheetml/2009/9/main" objectType="Drop" dropLines="3" dropStyle="combo" dx="26" fmlaLink="MyData!$B$88" fmlaRange="MyData!$A$89:$A$91" noThreeD="1" sel="1" val="0"/>
</file>

<file path=xl/ctrlProps/ctrlProp24.xml><?xml version="1.0" encoding="utf-8"?>
<formControlPr xmlns="http://schemas.microsoft.com/office/spreadsheetml/2009/9/main" objectType="CheckBox" fmlaLink="MyData!$B$101" lockText="1" noThreeD="1"/>
</file>

<file path=xl/ctrlProps/ctrlProp25.xml><?xml version="1.0" encoding="utf-8"?>
<formControlPr xmlns="http://schemas.microsoft.com/office/spreadsheetml/2009/9/main" objectType="CheckBox" fmlaLink="MyData!$B$103" lockText="1" noThreeD="1"/>
</file>

<file path=xl/ctrlProps/ctrlProp26.xml><?xml version="1.0" encoding="utf-8"?>
<formControlPr xmlns="http://schemas.microsoft.com/office/spreadsheetml/2009/9/main" objectType="Radio" checked="Checked" firstButton="1" fmlaLink="MyData!$B$99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Drop" dropStyle="combo" dx="26" fmlaLink="MyData!$B$112" fmlaRange="MyData!$A$113:$A$116" noThreeD="1" sel="1" val="0"/>
</file>

<file path=xl/ctrlProps/ctrlProp30.xml><?xml version="1.0" encoding="utf-8"?>
<formControlPr xmlns="http://schemas.microsoft.com/office/spreadsheetml/2009/9/main" objectType="Drop" dropStyle="combo" dx="26" fmlaLink="MyData!$B$105" fmlaRange="MyData!$A$106:$A$110" noThreeD="1" sel="5" val="0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Drop" dropStyle="combo" dx="26" fmlaLink="MyData!$B$82" fmlaRange="MyData!$A$83:$A$86" noThreeD="1" sel="3" val="0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Drop" dropLines="4" dropStyle="combo" dx="26" fmlaLink="MyData!$B$119" fmlaRange="MyData!$A$120:$A$122" noThreeD="1" sel="1" val="0"/>
</file>

<file path=xl/ctrlProps/ctrlProp35.xml><?xml version="1.0" encoding="utf-8"?>
<formControlPr xmlns="http://schemas.microsoft.com/office/spreadsheetml/2009/9/main" objectType="Radio" firstButton="1" fmlaLink="MyData!$B$124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Drop" dropLines="4" dropStyle="combo" dx="26" fmlaLink="MyData!$B$127" fmlaRange="MyData!$A$128:$A$130" noThreeD="1" sel="1" val="0"/>
</file>

<file path=xl/ctrlProps/ctrlProp39.xml><?xml version="1.0" encoding="utf-8"?>
<formControlPr xmlns="http://schemas.microsoft.com/office/spreadsheetml/2009/9/main" objectType="CheckBox" checked="Checked" fmlaLink="MyData!$B$132" lockText="1" noThreeD="1"/>
</file>

<file path=xl/ctrlProps/ctrlProp40.xml><?xml version="1.0" encoding="utf-8"?>
<formControlPr xmlns="http://schemas.microsoft.com/office/spreadsheetml/2009/9/main" objectType="CheckBox" checked="Checked" fmlaLink="MyData!$B$138" lockText="1" noThreeD="1"/>
</file>

<file path=xl/ctrlProps/ctrlProp41.xml><?xml version="1.0" encoding="utf-8"?>
<formControlPr xmlns="http://schemas.microsoft.com/office/spreadsheetml/2009/9/main" objectType="CheckBox" fmlaLink="MyData!$B$133" lockText="1" noThreeD="1"/>
</file>

<file path=xl/ctrlProps/ctrlProp42.xml><?xml version="1.0" encoding="utf-8"?>
<formControlPr xmlns="http://schemas.microsoft.com/office/spreadsheetml/2009/9/main" objectType="CheckBox" fmlaLink="MyData!$B$134" lockText="1" noThreeD="1"/>
</file>

<file path=xl/ctrlProps/ctrlProp43.xml><?xml version="1.0" encoding="utf-8"?>
<formControlPr xmlns="http://schemas.microsoft.com/office/spreadsheetml/2009/9/main" objectType="CheckBox" fmlaLink="MyData!$B$135" lockText="1" noThreeD="1"/>
</file>

<file path=xl/ctrlProps/ctrlProp44.xml><?xml version="1.0" encoding="utf-8"?>
<formControlPr xmlns="http://schemas.microsoft.com/office/spreadsheetml/2009/9/main" objectType="CheckBox" fmlaLink="MyData!$B$136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38100</xdr:rowOff>
    </xdr:from>
    <xdr:to>
      <xdr:col>2</xdr:col>
      <xdr:colOff>7620</xdr:colOff>
      <xdr:row>16</xdr:row>
      <xdr:rowOff>0</xdr:rowOff>
    </xdr:to>
    <xdr:cxnSp macro="">
      <xdr:nvCxnSpPr>
        <xdr:cNvPr id="22829" name="Straight Connector 221">
          <a:extLst>
            <a:ext uri="{FF2B5EF4-FFF2-40B4-BE49-F238E27FC236}">
              <a16:creationId xmlns:a16="http://schemas.microsoft.com/office/drawing/2014/main" id="{5A6DBBCA-56AA-4138-B06F-DF47CDE137D2}"/>
            </a:ext>
          </a:extLst>
        </xdr:cNvPr>
        <xdr:cNvCxnSpPr>
          <a:cxnSpLocks noChangeShapeType="1"/>
        </xdr:cNvCxnSpPr>
      </xdr:nvCxnSpPr>
      <xdr:spPr bwMode="auto">
        <a:xfrm flipV="1">
          <a:off x="609600" y="255270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0</xdr:colOff>
      <xdr:row>18</xdr:row>
      <xdr:rowOff>7620</xdr:rowOff>
    </xdr:from>
    <xdr:to>
      <xdr:col>2</xdr:col>
      <xdr:colOff>7620</xdr:colOff>
      <xdr:row>18</xdr:row>
      <xdr:rowOff>144780</xdr:rowOff>
    </xdr:to>
    <xdr:cxnSp macro="">
      <xdr:nvCxnSpPr>
        <xdr:cNvPr id="22830" name="Straight Connector 222">
          <a:extLst>
            <a:ext uri="{FF2B5EF4-FFF2-40B4-BE49-F238E27FC236}">
              <a16:creationId xmlns:a16="http://schemas.microsoft.com/office/drawing/2014/main" id="{F62E2158-101C-4D90-AD38-239E2F3E4691}"/>
            </a:ext>
          </a:extLst>
        </xdr:cNvPr>
        <xdr:cNvCxnSpPr>
          <a:cxnSpLocks noChangeShapeType="1"/>
        </xdr:cNvCxnSpPr>
      </xdr:nvCxnSpPr>
      <xdr:spPr bwMode="auto">
        <a:xfrm>
          <a:off x="609600" y="302514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0</xdr:colOff>
      <xdr:row>17</xdr:row>
      <xdr:rowOff>38100</xdr:rowOff>
    </xdr:from>
    <xdr:to>
      <xdr:col>4</xdr:col>
      <xdr:colOff>7620</xdr:colOff>
      <xdr:row>18</xdr:row>
      <xdr:rowOff>0</xdr:rowOff>
    </xdr:to>
    <xdr:cxnSp macro="">
      <xdr:nvCxnSpPr>
        <xdr:cNvPr id="22831" name="Straight Connector 223">
          <a:extLst>
            <a:ext uri="{FF2B5EF4-FFF2-40B4-BE49-F238E27FC236}">
              <a16:creationId xmlns:a16="http://schemas.microsoft.com/office/drawing/2014/main" id="{3B635AF2-0277-417C-ACCF-91A4E1BE99DA}"/>
            </a:ext>
          </a:extLst>
        </xdr:cNvPr>
        <xdr:cNvCxnSpPr>
          <a:cxnSpLocks noChangeShapeType="1"/>
        </xdr:cNvCxnSpPr>
      </xdr:nvCxnSpPr>
      <xdr:spPr bwMode="auto">
        <a:xfrm flipV="1">
          <a:off x="1402080" y="288798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0</xdr:colOff>
      <xdr:row>20</xdr:row>
      <xdr:rowOff>7620</xdr:rowOff>
    </xdr:from>
    <xdr:to>
      <xdr:col>4</xdr:col>
      <xdr:colOff>7620</xdr:colOff>
      <xdr:row>20</xdr:row>
      <xdr:rowOff>144780</xdr:rowOff>
    </xdr:to>
    <xdr:cxnSp macro="">
      <xdr:nvCxnSpPr>
        <xdr:cNvPr id="22832" name="Straight Connector 224">
          <a:extLst>
            <a:ext uri="{FF2B5EF4-FFF2-40B4-BE49-F238E27FC236}">
              <a16:creationId xmlns:a16="http://schemas.microsoft.com/office/drawing/2014/main" id="{0A96A2A6-AA7E-4266-AB01-18A4EE5737AA}"/>
            </a:ext>
          </a:extLst>
        </xdr:cNvPr>
        <xdr:cNvCxnSpPr>
          <a:cxnSpLocks noChangeShapeType="1"/>
        </xdr:cNvCxnSpPr>
      </xdr:nvCxnSpPr>
      <xdr:spPr bwMode="auto">
        <a:xfrm>
          <a:off x="1402080" y="336042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0</xdr:colOff>
      <xdr:row>13</xdr:row>
      <xdr:rowOff>38100</xdr:rowOff>
    </xdr:from>
    <xdr:to>
      <xdr:col>4</xdr:col>
      <xdr:colOff>7620</xdr:colOff>
      <xdr:row>14</xdr:row>
      <xdr:rowOff>0</xdr:rowOff>
    </xdr:to>
    <xdr:cxnSp macro="">
      <xdr:nvCxnSpPr>
        <xdr:cNvPr id="22833" name="Straight Connector 225">
          <a:extLst>
            <a:ext uri="{FF2B5EF4-FFF2-40B4-BE49-F238E27FC236}">
              <a16:creationId xmlns:a16="http://schemas.microsoft.com/office/drawing/2014/main" id="{3B44055F-F869-4D8C-A57F-E8D01769A0DC}"/>
            </a:ext>
          </a:extLst>
        </xdr:cNvPr>
        <xdr:cNvCxnSpPr>
          <a:cxnSpLocks noChangeShapeType="1"/>
        </xdr:cNvCxnSpPr>
      </xdr:nvCxnSpPr>
      <xdr:spPr bwMode="auto">
        <a:xfrm flipV="1">
          <a:off x="1402080" y="221742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0</xdr:colOff>
      <xdr:row>16</xdr:row>
      <xdr:rowOff>7620</xdr:rowOff>
    </xdr:from>
    <xdr:to>
      <xdr:col>4</xdr:col>
      <xdr:colOff>7620</xdr:colOff>
      <xdr:row>16</xdr:row>
      <xdr:rowOff>144780</xdr:rowOff>
    </xdr:to>
    <xdr:cxnSp macro="">
      <xdr:nvCxnSpPr>
        <xdr:cNvPr id="22834" name="Straight Connector 226">
          <a:extLst>
            <a:ext uri="{FF2B5EF4-FFF2-40B4-BE49-F238E27FC236}">
              <a16:creationId xmlns:a16="http://schemas.microsoft.com/office/drawing/2014/main" id="{C58720D5-C6CB-40A2-8554-376330FC7228}"/>
            </a:ext>
          </a:extLst>
        </xdr:cNvPr>
        <xdr:cNvCxnSpPr>
          <a:cxnSpLocks noChangeShapeType="1"/>
        </xdr:cNvCxnSpPr>
      </xdr:nvCxnSpPr>
      <xdr:spPr bwMode="auto">
        <a:xfrm>
          <a:off x="1402080" y="268986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0</xdr:colOff>
      <xdr:row>19</xdr:row>
      <xdr:rowOff>38100</xdr:rowOff>
    </xdr:from>
    <xdr:to>
      <xdr:col>6</xdr:col>
      <xdr:colOff>7620</xdr:colOff>
      <xdr:row>20</xdr:row>
      <xdr:rowOff>0</xdr:rowOff>
    </xdr:to>
    <xdr:cxnSp macro="">
      <xdr:nvCxnSpPr>
        <xdr:cNvPr id="22835" name="Straight Connector 227">
          <a:extLst>
            <a:ext uri="{FF2B5EF4-FFF2-40B4-BE49-F238E27FC236}">
              <a16:creationId xmlns:a16="http://schemas.microsoft.com/office/drawing/2014/main" id="{AEA31850-4D69-432B-99D7-1E57FC94DC4C}"/>
            </a:ext>
          </a:extLst>
        </xdr:cNvPr>
        <xdr:cNvCxnSpPr>
          <a:cxnSpLocks noChangeShapeType="1"/>
        </xdr:cNvCxnSpPr>
      </xdr:nvCxnSpPr>
      <xdr:spPr bwMode="auto">
        <a:xfrm flipV="1">
          <a:off x="2194560" y="322326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0</xdr:colOff>
      <xdr:row>22</xdr:row>
      <xdr:rowOff>7620</xdr:rowOff>
    </xdr:from>
    <xdr:to>
      <xdr:col>6</xdr:col>
      <xdr:colOff>7620</xdr:colOff>
      <xdr:row>22</xdr:row>
      <xdr:rowOff>144780</xdr:rowOff>
    </xdr:to>
    <xdr:cxnSp macro="">
      <xdr:nvCxnSpPr>
        <xdr:cNvPr id="22836" name="Straight Connector 228">
          <a:extLst>
            <a:ext uri="{FF2B5EF4-FFF2-40B4-BE49-F238E27FC236}">
              <a16:creationId xmlns:a16="http://schemas.microsoft.com/office/drawing/2014/main" id="{4E37757C-DA6A-498E-9A50-7018B212E793}"/>
            </a:ext>
          </a:extLst>
        </xdr:cNvPr>
        <xdr:cNvCxnSpPr>
          <a:cxnSpLocks noChangeShapeType="1"/>
        </xdr:cNvCxnSpPr>
      </xdr:nvCxnSpPr>
      <xdr:spPr bwMode="auto">
        <a:xfrm>
          <a:off x="2194560" y="369570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0</xdr:colOff>
      <xdr:row>15</xdr:row>
      <xdr:rowOff>38100</xdr:rowOff>
    </xdr:from>
    <xdr:to>
      <xdr:col>6</xdr:col>
      <xdr:colOff>7620</xdr:colOff>
      <xdr:row>16</xdr:row>
      <xdr:rowOff>0</xdr:rowOff>
    </xdr:to>
    <xdr:cxnSp macro="">
      <xdr:nvCxnSpPr>
        <xdr:cNvPr id="22837" name="Straight Connector 229">
          <a:extLst>
            <a:ext uri="{FF2B5EF4-FFF2-40B4-BE49-F238E27FC236}">
              <a16:creationId xmlns:a16="http://schemas.microsoft.com/office/drawing/2014/main" id="{1403CE02-1354-4884-A100-B27FFC9CAD89}"/>
            </a:ext>
          </a:extLst>
        </xdr:cNvPr>
        <xdr:cNvCxnSpPr>
          <a:cxnSpLocks noChangeShapeType="1"/>
        </xdr:cNvCxnSpPr>
      </xdr:nvCxnSpPr>
      <xdr:spPr bwMode="auto">
        <a:xfrm flipV="1">
          <a:off x="2194560" y="255270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0</xdr:colOff>
      <xdr:row>18</xdr:row>
      <xdr:rowOff>7620</xdr:rowOff>
    </xdr:from>
    <xdr:to>
      <xdr:col>6</xdr:col>
      <xdr:colOff>7620</xdr:colOff>
      <xdr:row>18</xdr:row>
      <xdr:rowOff>144780</xdr:rowOff>
    </xdr:to>
    <xdr:cxnSp macro="">
      <xdr:nvCxnSpPr>
        <xdr:cNvPr id="22838" name="Straight Connector 230">
          <a:extLst>
            <a:ext uri="{FF2B5EF4-FFF2-40B4-BE49-F238E27FC236}">
              <a16:creationId xmlns:a16="http://schemas.microsoft.com/office/drawing/2014/main" id="{8A1FD15A-8F38-4CA3-9374-933DAF667A43}"/>
            </a:ext>
          </a:extLst>
        </xdr:cNvPr>
        <xdr:cNvCxnSpPr>
          <a:cxnSpLocks noChangeShapeType="1"/>
        </xdr:cNvCxnSpPr>
      </xdr:nvCxnSpPr>
      <xdr:spPr bwMode="auto">
        <a:xfrm>
          <a:off x="2194560" y="302514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0</xdr:colOff>
      <xdr:row>11</xdr:row>
      <xdr:rowOff>38100</xdr:rowOff>
    </xdr:from>
    <xdr:to>
      <xdr:col>6</xdr:col>
      <xdr:colOff>7620</xdr:colOff>
      <xdr:row>12</xdr:row>
      <xdr:rowOff>0</xdr:rowOff>
    </xdr:to>
    <xdr:cxnSp macro="">
      <xdr:nvCxnSpPr>
        <xdr:cNvPr id="22839" name="Straight Connector 231">
          <a:extLst>
            <a:ext uri="{FF2B5EF4-FFF2-40B4-BE49-F238E27FC236}">
              <a16:creationId xmlns:a16="http://schemas.microsoft.com/office/drawing/2014/main" id="{1330ECA2-08BC-44BB-93BB-AFD2724AFB19}"/>
            </a:ext>
          </a:extLst>
        </xdr:cNvPr>
        <xdr:cNvCxnSpPr>
          <a:cxnSpLocks noChangeShapeType="1"/>
        </xdr:cNvCxnSpPr>
      </xdr:nvCxnSpPr>
      <xdr:spPr bwMode="auto">
        <a:xfrm flipV="1">
          <a:off x="2194560" y="188214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0</xdr:colOff>
      <xdr:row>14</xdr:row>
      <xdr:rowOff>7620</xdr:rowOff>
    </xdr:from>
    <xdr:to>
      <xdr:col>6</xdr:col>
      <xdr:colOff>7620</xdr:colOff>
      <xdr:row>14</xdr:row>
      <xdr:rowOff>144780</xdr:rowOff>
    </xdr:to>
    <xdr:cxnSp macro="">
      <xdr:nvCxnSpPr>
        <xdr:cNvPr id="22840" name="Straight Connector 232">
          <a:extLst>
            <a:ext uri="{FF2B5EF4-FFF2-40B4-BE49-F238E27FC236}">
              <a16:creationId xmlns:a16="http://schemas.microsoft.com/office/drawing/2014/main" id="{14A3959D-7199-43DB-ACC8-CBFD14ADC7E1}"/>
            </a:ext>
          </a:extLst>
        </xdr:cNvPr>
        <xdr:cNvCxnSpPr>
          <a:cxnSpLocks noChangeShapeType="1"/>
        </xdr:cNvCxnSpPr>
      </xdr:nvCxnSpPr>
      <xdr:spPr bwMode="auto">
        <a:xfrm>
          <a:off x="2194560" y="235458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21</xdr:row>
      <xdr:rowOff>38100</xdr:rowOff>
    </xdr:from>
    <xdr:to>
      <xdr:col>8</xdr:col>
      <xdr:colOff>7620</xdr:colOff>
      <xdr:row>22</xdr:row>
      <xdr:rowOff>0</xdr:rowOff>
    </xdr:to>
    <xdr:cxnSp macro="">
      <xdr:nvCxnSpPr>
        <xdr:cNvPr id="22841" name="Straight Connector 233">
          <a:extLst>
            <a:ext uri="{FF2B5EF4-FFF2-40B4-BE49-F238E27FC236}">
              <a16:creationId xmlns:a16="http://schemas.microsoft.com/office/drawing/2014/main" id="{83E490A5-3A30-4D6C-8BE6-11EBC8FF339F}"/>
            </a:ext>
          </a:extLst>
        </xdr:cNvPr>
        <xdr:cNvCxnSpPr>
          <a:cxnSpLocks noChangeShapeType="1"/>
        </xdr:cNvCxnSpPr>
      </xdr:nvCxnSpPr>
      <xdr:spPr bwMode="auto">
        <a:xfrm flipV="1">
          <a:off x="2987040" y="355854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24</xdr:row>
      <xdr:rowOff>7620</xdr:rowOff>
    </xdr:from>
    <xdr:to>
      <xdr:col>8</xdr:col>
      <xdr:colOff>7620</xdr:colOff>
      <xdr:row>24</xdr:row>
      <xdr:rowOff>144780</xdr:rowOff>
    </xdr:to>
    <xdr:cxnSp macro="">
      <xdr:nvCxnSpPr>
        <xdr:cNvPr id="22842" name="Straight Connector 234">
          <a:extLst>
            <a:ext uri="{FF2B5EF4-FFF2-40B4-BE49-F238E27FC236}">
              <a16:creationId xmlns:a16="http://schemas.microsoft.com/office/drawing/2014/main" id="{C543E205-87EB-42D0-ADFE-571B2B8E2AB6}"/>
            </a:ext>
          </a:extLst>
        </xdr:cNvPr>
        <xdr:cNvCxnSpPr>
          <a:cxnSpLocks noChangeShapeType="1"/>
        </xdr:cNvCxnSpPr>
      </xdr:nvCxnSpPr>
      <xdr:spPr bwMode="auto">
        <a:xfrm>
          <a:off x="2987040" y="403098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17</xdr:row>
      <xdr:rowOff>38100</xdr:rowOff>
    </xdr:from>
    <xdr:to>
      <xdr:col>8</xdr:col>
      <xdr:colOff>7620</xdr:colOff>
      <xdr:row>18</xdr:row>
      <xdr:rowOff>0</xdr:rowOff>
    </xdr:to>
    <xdr:cxnSp macro="">
      <xdr:nvCxnSpPr>
        <xdr:cNvPr id="22843" name="Straight Connector 235">
          <a:extLst>
            <a:ext uri="{FF2B5EF4-FFF2-40B4-BE49-F238E27FC236}">
              <a16:creationId xmlns:a16="http://schemas.microsoft.com/office/drawing/2014/main" id="{90E1B950-FE17-4FA4-98C2-50024A6DF2E8}"/>
            </a:ext>
          </a:extLst>
        </xdr:cNvPr>
        <xdr:cNvCxnSpPr>
          <a:cxnSpLocks noChangeShapeType="1"/>
        </xdr:cNvCxnSpPr>
      </xdr:nvCxnSpPr>
      <xdr:spPr bwMode="auto">
        <a:xfrm flipV="1">
          <a:off x="2987040" y="288798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20</xdr:row>
      <xdr:rowOff>7620</xdr:rowOff>
    </xdr:from>
    <xdr:to>
      <xdr:col>8</xdr:col>
      <xdr:colOff>7620</xdr:colOff>
      <xdr:row>20</xdr:row>
      <xdr:rowOff>144780</xdr:rowOff>
    </xdr:to>
    <xdr:cxnSp macro="">
      <xdr:nvCxnSpPr>
        <xdr:cNvPr id="22844" name="Straight Connector 236">
          <a:extLst>
            <a:ext uri="{FF2B5EF4-FFF2-40B4-BE49-F238E27FC236}">
              <a16:creationId xmlns:a16="http://schemas.microsoft.com/office/drawing/2014/main" id="{64A18202-278B-4D67-83DF-D90D45937D35}"/>
            </a:ext>
          </a:extLst>
        </xdr:cNvPr>
        <xdr:cNvCxnSpPr>
          <a:cxnSpLocks noChangeShapeType="1"/>
        </xdr:cNvCxnSpPr>
      </xdr:nvCxnSpPr>
      <xdr:spPr bwMode="auto">
        <a:xfrm>
          <a:off x="2987040" y="336042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13</xdr:row>
      <xdr:rowOff>38100</xdr:rowOff>
    </xdr:from>
    <xdr:to>
      <xdr:col>8</xdr:col>
      <xdr:colOff>7620</xdr:colOff>
      <xdr:row>14</xdr:row>
      <xdr:rowOff>0</xdr:rowOff>
    </xdr:to>
    <xdr:cxnSp macro="">
      <xdr:nvCxnSpPr>
        <xdr:cNvPr id="22845" name="Straight Connector 237">
          <a:extLst>
            <a:ext uri="{FF2B5EF4-FFF2-40B4-BE49-F238E27FC236}">
              <a16:creationId xmlns:a16="http://schemas.microsoft.com/office/drawing/2014/main" id="{3CFEB451-7153-4311-BC2E-C64D4F19A085}"/>
            </a:ext>
          </a:extLst>
        </xdr:cNvPr>
        <xdr:cNvCxnSpPr>
          <a:cxnSpLocks noChangeShapeType="1"/>
        </xdr:cNvCxnSpPr>
      </xdr:nvCxnSpPr>
      <xdr:spPr bwMode="auto">
        <a:xfrm flipV="1">
          <a:off x="2987040" y="221742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16</xdr:row>
      <xdr:rowOff>7620</xdr:rowOff>
    </xdr:from>
    <xdr:to>
      <xdr:col>8</xdr:col>
      <xdr:colOff>7620</xdr:colOff>
      <xdr:row>16</xdr:row>
      <xdr:rowOff>144780</xdr:rowOff>
    </xdr:to>
    <xdr:cxnSp macro="">
      <xdr:nvCxnSpPr>
        <xdr:cNvPr id="22846" name="Straight Connector 238">
          <a:extLst>
            <a:ext uri="{FF2B5EF4-FFF2-40B4-BE49-F238E27FC236}">
              <a16:creationId xmlns:a16="http://schemas.microsoft.com/office/drawing/2014/main" id="{4FEB79F5-3ED7-4028-A62D-6988FC7881F2}"/>
            </a:ext>
          </a:extLst>
        </xdr:cNvPr>
        <xdr:cNvCxnSpPr>
          <a:cxnSpLocks noChangeShapeType="1"/>
        </xdr:cNvCxnSpPr>
      </xdr:nvCxnSpPr>
      <xdr:spPr bwMode="auto">
        <a:xfrm>
          <a:off x="2987040" y="268986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9</xdr:row>
      <xdr:rowOff>38100</xdr:rowOff>
    </xdr:from>
    <xdr:to>
      <xdr:col>8</xdr:col>
      <xdr:colOff>7620</xdr:colOff>
      <xdr:row>10</xdr:row>
      <xdr:rowOff>0</xdr:rowOff>
    </xdr:to>
    <xdr:cxnSp macro="">
      <xdr:nvCxnSpPr>
        <xdr:cNvPr id="22847" name="Straight Connector 239">
          <a:extLst>
            <a:ext uri="{FF2B5EF4-FFF2-40B4-BE49-F238E27FC236}">
              <a16:creationId xmlns:a16="http://schemas.microsoft.com/office/drawing/2014/main" id="{4207C632-DF00-4AF0-A703-EFE7A47702D3}"/>
            </a:ext>
          </a:extLst>
        </xdr:cNvPr>
        <xdr:cNvCxnSpPr>
          <a:cxnSpLocks noChangeShapeType="1"/>
        </xdr:cNvCxnSpPr>
      </xdr:nvCxnSpPr>
      <xdr:spPr bwMode="auto">
        <a:xfrm flipV="1">
          <a:off x="2987040" y="154686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12</xdr:row>
      <xdr:rowOff>7620</xdr:rowOff>
    </xdr:from>
    <xdr:to>
      <xdr:col>8</xdr:col>
      <xdr:colOff>7620</xdr:colOff>
      <xdr:row>12</xdr:row>
      <xdr:rowOff>144780</xdr:rowOff>
    </xdr:to>
    <xdr:cxnSp macro="">
      <xdr:nvCxnSpPr>
        <xdr:cNvPr id="22848" name="Straight Connector 240">
          <a:extLst>
            <a:ext uri="{FF2B5EF4-FFF2-40B4-BE49-F238E27FC236}">
              <a16:creationId xmlns:a16="http://schemas.microsoft.com/office/drawing/2014/main" id="{11A76835-2862-43FF-8E5E-1A6D7B57C79E}"/>
            </a:ext>
          </a:extLst>
        </xdr:cNvPr>
        <xdr:cNvCxnSpPr>
          <a:cxnSpLocks noChangeShapeType="1"/>
        </xdr:cNvCxnSpPr>
      </xdr:nvCxnSpPr>
      <xdr:spPr bwMode="auto">
        <a:xfrm>
          <a:off x="2987040" y="201930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23</xdr:row>
      <xdr:rowOff>38100</xdr:rowOff>
    </xdr:from>
    <xdr:to>
      <xdr:col>10</xdr:col>
      <xdr:colOff>7620</xdr:colOff>
      <xdr:row>24</xdr:row>
      <xdr:rowOff>0</xdr:rowOff>
    </xdr:to>
    <xdr:cxnSp macro="">
      <xdr:nvCxnSpPr>
        <xdr:cNvPr id="22849" name="Straight Connector 241">
          <a:extLst>
            <a:ext uri="{FF2B5EF4-FFF2-40B4-BE49-F238E27FC236}">
              <a16:creationId xmlns:a16="http://schemas.microsoft.com/office/drawing/2014/main" id="{3CA32AB7-4403-4362-AF12-55BD67415B40}"/>
            </a:ext>
          </a:extLst>
        </xdr:cNvPr>
        <xdr:cNvCxnSpPr>
          <a:cxnSpLocks noChangeShapeType="1"/>
        </xdr:cNvCxnSpPr>
      </xdr:nvCxnSpPr>
      <xdr:spPr bwMode="auto">
        <a:xfrm flipV="1">
          <a:off x="3779520" y="389382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26</xdr:row>
      <xdr:rowOff>7620</xdr:rowOff>
    </xdr:from>
    <xdr:to>
      <xdr:col>10</xdr:col>
      <xdr:colOff>7620</xdr:colOff>
      <xdr:row>26</xdr:row>
      <xdr:rowOff>144780</xdr:rowOff>
    </xdr:to>
    <xdr:cxnSp macro="">
      <xdr:nvCxnSpPr>
        <xdr:cNvPr id="22850" name="Straight Connector 242">
          <a:extLst>
            <a:ext uri="{FF2B5EF4-FFF2-40B4-BE49-F238E27FC236}">
              <a16:creationId xmlns:a16="http://schemas.microsoft.com/office/drawing/2014/main" id="{299E76A4-0E35-4B29-86B7-63D1DB52F702}"/>
            </a:ext>
          </a:extLst>
        </xdr:cNvPr>
        <xdr:cNvCxnSpPr>
          <a:cxnSpLocks noChangeShapeType="1"/>
        </xdr:cNvCxnSpPr>
      </xdr:nvCxnSpPr>
      <xdr:spPr bwMode="auto">
        <a:xfrm>
          <a:off x="3779520" y="436626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19</xdr:row>
      <xdr:rowOff>38100</xdr:rowOff>
    </xdr:from>
    <xdr:to>
      <xdr:col>10</xdr:col>
      <xdr:colOff>7620</xdr:colOff>
      <xdr:row>20</xdr:row>
      <xdr:rowOff>0</xdr:rowOff>
    </xdr:to>
    <xdr:cxnSp macro="">
      <xdr:nvCxnSpPr>
        <xdr:cNvPr id="22851" name="Straight Connector 243">
          <a:extLst>
            <a:ext uri="{FF2B5EF4-FFF2-40B4-BE49-F238E27FC236}">
              <a16:creationId xmlns:a16="http://schemas.microsoft.com/office/drawing/2014/main" id="{62BFDE67-DC7D-43C1-B243-51497D0EBB63}"/>
            </a:ext>
          </a:extLst>
        </xdr:cNvPr>
        <xdr:cNvCxnSpPr>
          <a:cxnSpLocks noChangeShapeType="1"/>
        </xdr:cNvCxnSpPr>
      </xdr:nvCxnSpPr>
      <xdr:spPr bwMode="auto">
        <a:xfrm flipV="1">
          <a:off x="3779520" y="322326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22</xdr:row>
      <xdr:rowOff>7620</xdr:rowOff>
    </xdr:from>
    <xdr:to>
      <xdr:col>10</xdr:col>
      <xdr:colOff>7620</xdr:colOff>
      <xdr:row>22</xdr:row>
      <xdr:rowOff>144780</xdr:rowOff>
    </xdr:to>
    <xdr:cxnSp macro="">
      <xdr:nvCxnSpPr>
        <xdr:cNvPr id="22852" name="Straight Connector 244">
          <a:extLst>
            <a:ext uri="{FF2B5EF4-FFF2-40B4-BE49-F238E27FC236}">
              <a16:creationId xmlns:a16="http://schemas.microsoft.com/office/drawing/2014/main" id="{D72A7E73-342B-4AA5-9C1B-CF7229458537}"/>
            </a:ext>
          </a:extLst>
        </xdr:cNvPr>
        <xdr:cNvCxnSpPr>
          <a:cxnSpLocks noChangeShapeType="1"/>
        </xdr:cNvCxnSpPr>
      </xdr:nvCxnSpPr>
      <xdr:spPr bwMode="auto">
        <a:xfrm>
          <a:off x="3779520" y="369570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15</xdr:row>
      <xdr:rowOff>38100</xdr:rowOff>
    </xdr:from>
    <xdr:to>
      <xdr:col>10</xdr:col>
      <xdr:colOff>7620</xdr:colOff>
      <xdr:row>16</xdr:row>
      <xdr:rowOff>0</xdr:rowOff>
    </xdr:to>
    <xdr:cxnSp macro="">
      <xdr:nvCxnSpPr>
        <xdr:cNvPr id="22853" name="Straight Connector 245">
          <a:extLst>
            <a:ext uri="{FF2B5EF4-FFF2-40B4-BE49-F238E27FC236}">
              <a16:creationId xmlns:a16="http://schemas.microsoft.com/office/drawing/2014/main" id="{F4BD1B22-4742-40D2-9E69-5F6D1EBEFB50}"/>
            </a:ext>
          </a:extLst>
        </xdr:cNvPr>
        <xdr:cNvCxnSpPr>
          <a:cxnSpLocks noChangeShapeType="1"/>
        </xdr:cNvCxnSpPr>
      </xdr:nvCxnSpPr>
      <xdr:spPr bwMode="auto">
        <a:xfrm flipV="1">
          <a:off x="3779520" y="255270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18</xdr:row>
      <xdr:rowOff>7620</xdr:rowOff>
    </xdr:from>
    <xdr:to>
      <xdr:col>10</xdr:col>
      <xdr:colOff>7620</xdr:colOff>
      <xdr:row>18</xdr:row>
      <xdr:rowOff>144780</xdr:rowOff>
    </xdr:to>
    <xdr:cxnSp macro="">
      <xdr:nvCxnSpPr>
        <xdr:cNvPr id="22854" name="Straight Connector 246">
          <a:extLst>
            <a:ext uri="{FF2B5EF4-FFF2-40B4-BE49-F238E27FC236}">
              <a16:creationId xmlns:a16="http://schemas.microsoft.com/office/drawing/2014/main" id="{309F3C06-BAAB-41AE-AA25-FCA002C294D9}"/>
            </a:ext>
          </a:extLst>
        </xdr:cNvPr>
        <xdr:cNvCxnSpPr>
          <a:cxnSpLocks noChangeShapeType="1"/>
        </xdr:cNvCxnSpPr>
      </xdr:nvCxnSpPr>
      <xdr:spPr bwMode="auto">
        <a:xfrm>
          <a:off x="3779520" y="302514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11</xdr:row>
      <xdr:rowOff>38100</xdr:rowOff>
    </xdr:from>
    <xdr:to>
      <xdr:col>10</xdr:col>
      <xdr:colOff>7620</xdr:colOff>
      <xdr:row>12</xdr:row>
      <xdr:rowOff>0</xdr:rowOff>
    </xdr:to>
    <xdr:cxnSp macro="">
      <xdr:nvCxnSpPr>
        <xdr:cNvPr id="22855" name="Straight Connector 247">
          <a:extLst>
            <a:ext uri="{FF2B5EF4-FFF2-40B4-BE49-F238E27FC236}">
              <a16:creationId xmlns:a16="http://schemas.microsoft.com/office/drawing/2014/main" id="{EDBB78BE-AE31-4E5A-BFD6-A87177510053}"/>
            </a:ext>
          </a:extLst>
        </xdr:cNvPr>
        <xdr:cNvCxnSpPr>
          <a:cxnSpLocks noChangeShapeType="1"/>
        </xdr:cNvCxnSpPr>
      </xdr:nvCxnSpPr>
      <xdr:spPr bwMode="auto">
        <a:xfrm flipV="1">
          <a:off x="3779520" y="188214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14</xdr:row>
      <xdr:rowOff>7620</xdr:rowOff>
    </xdr:from>
    <xdr:to>
      <xdr:col>10</xdr:col>
      <xdr:colOff>7620</xdr:colOff>
      <xdr:row>14</xdr:row>
      <xdr:rowOff>144780</xdr:rowOff>
    </xdr:to>
    <xdr:cxnSp macro="">
      <xdr:nvCxnSpPr>
        <xdr:cNvPr id="22856" name="Straight Connector 248">
          <a:extLst>
            <a:ext uri="{FF2B5EF4-FFF2-40B4-BE49-F238E27FC236}">
              <a16:creationId xmlns:a16="http://schemas.microsoft.com/office/drawing/2014/main" id="{8738E88D-1F4D-4C71-8167-C044F2C5A8B9}"/>
            </a:ext>
          </a:extLst>
        </xdr:cNvPr>
        <xdr:cNvCxnSpPr>
          <a:cxnSpLocks noChangeShapeType="1"/>
        </xdr:cNvCxnSpPr>
      </xdr:nvCxnSpPr>
      <xdr:spPr bwMode="auto">
        <a:xfrm>
          <a:off x="3779520" y="235458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7</xdr:row>
      <xdr:rowOff>38100</xdr:rowOff>
    </xdr:from>
    <xdr:to>
      <xdr:col>10</xdr:col>
      <xdr:colOff>7620</xdr:colOff>
      <xdr:row>8</xdr:row>
      <xdr:rowOff>0</xdr:rowOff>
    </xdr:to>
    <xdr:cxnSp macro="">
      <xdr:nvCxnSpPr>
        <xdr:cNvPr id="22857" name="Straight Connector 249">
          <a:extLst>
            <a:ext uri="{FF2B5EF4-FFF2-40B4-BE49-F238E27FC236}">
              <a16:creationId xmlns:a16="http://schemas.microsoft.com/office/drawing/2014/main" id="{B29E6272-EF8E-4074-BFC0-3A25793465CF}"/>
            </a:ext>
          </a:extLst>
        </xdr:cNvPr>
        <xdr:cNvCxnSpPr>
          <a:cxnSpLocks noChangeShapeType="1"/>
        </xdr:cNvCxnSpPr>
      </xdr:nvCxnSpPr>
      <xdr:spPr bwMode="auto">
        <a:xfrm flipV="1">
          <a:off x="3779520" y="1211580"/>
          <a:ext cx="190500" cy="12954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10</xdr:row>
      <xdr:rowOff>7620</xdr:rowOff>
    </xdr:from>
    <xdr:to>
      <xdr:col>10</xdr:col>
      <xdr:colOff>7620</xdr:colOff>
      <xdr:row>10</xdr:row>
      <xdr:rowOff>144780</xdr:rowOff>
    </xdr:to>
    <xdr:cxnSp macro="">
      <xdr:nvCxnSpPr>
        <xdr:cNvPr id="22858" name="Straight Connector 250">
          <a:extLst>
            <a:ext uri="{FF2B5EF4-FFF2-40B4-BE49-F238E27FC236}">
              <a16:creationId xmlns:a16="http://schemas.microsoft.com/office/drawing/2014/main" id="{8ADAF4E8-B324-4345-B168-934603584220}"/>
            </a:ext>
          </a:extLst>
        </xdr:cNvPr>
        <xdr:cNvCxnSpPr>
          <a:cxnSpLocks noChangeShapeType="1"/>
        </xdr:cNvCxnSpPr>
      </xdr:nvCxnSpPr>
      <xdr:spPr bwMode="auto">
        <a:xfrm>
          <a:off x="3779520" y="1684020"/>
          <a:ext cx="190500" cy="13716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13</xdr:row>
      <xdr:rowOff>38100</xdr:rowOff>
    </xdr:from>
    <xdr:to>
      <xdr:col>13</xdr:col>
      <xdr:colOff>556260</xdr:colOff>
      <xdr:row>31</xdr:row>
      <xdr:rowOff>121920</xdr:rowOff>
    </xdr:to>
    <xdr:graphicFrame macro="">
      <xdr:nvGraphicFramePr>
        <xdr:cNvPr id="5144" name="Option Display">
          <a:extLst>
            <a:ext uri="{FF2B5EF4-FFF2-40B4-BE49-F238E27FC236}">
              <a16:creationId xmlns:a16="http://schemas.microsoft.com/office/drawing/2014/main" id="{77D40AD3-6A34-4EDC-BE0B-4413A502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19</xdr:row>
          <xdr:rowOff>76200</xdr:rowOff>
        </xdr:from>
        <xdr:to>
          <xdr:col>5</xdr:col>
          <xdr:colOff>624840</xdr:colOff>
          <xdr:row>20</xdr:row>
          <xdr:rowOff>137160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9EFA4C1-C817-44DC-A945-BEE72899A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17</xdr:row>
          <xdr:rowOff>160020</xdr:rowOff>
        </xdr:from>
        <xdr:to>
          <xdr:col>5</xdr:col>
          <xdr:colOff>617220</xdr:colOff>
          <xdr:row>19</xdr:row>
          <xdr:rowOff>45720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1BF72EDE-A99B-44F1-A5D6-A09D80434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472440</xdr:colOff>
          <xdr:row>9</xdr:row>
          <xdr:rowOff>144780</xdr:rowOff>
        </xdr:from>
        <xdr:to>
          <xdr:col>2</xdr:col>
          <xdr:colOff>106680</xdr:colOff>
          <xdr:row>11</xdr:row>
          <xdr:rowOff>68580</xdr:rowOff>
        </xdr:to>
        <xdr:sp macro="" textlink="">
          <xdr:nvSpPr>
            <xdr:cNvPr id="5124" name="Calc_Button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757138D0-3599-4EA4-9E66-DC6DD2E2E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0</xdr:rowOff>
        </xdr:from>
        <xdr:to>
          <xdr:col>3</xdr:col>
          <xdr:colOff>617220</xdr:colOff>
          <xdr:row>3</xdr:row>
          <xdr:rowOff>22860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852576B6-9C9E-48BE-9E6B-123D3245E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16</xdr:row>
          <xdr:rowOff>30480</xdr:rowOff>
        </xdr:from>
        <xdr:to>
          <xdr:col>3</xdr:col>
          <xdr:colOff>617220</xdr:colOff>
          <xdr:row>17</xdr:row>
          <xdr:rowOff>45720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8F6F478C-45A0-4797-A50C-05A88048E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16</xdr:row>
          <xdr:rowOff>7620</xdr:rowOff>
        </xdr:from>
        <xdr:to>
          <xdr:col>5</xdr:col>
          <xdr:colOff>541020</xdr:colOff>
          <xdr:row>17</xdr:row>
          <xdr:rowOff>68580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E6842D9D-1791-4A17-9DEB-2094DD3E0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Imply Volatility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5</xdr:row>
          <xdr:rowOff>22860</xdr:rowOff>
        </xdr:from>
        <xdr:to>
          <xdr:col>11</xdr:col>
          <xdr:colOff>601980</xdr:colOff>
          <xdr:row>6</xdr:row>
          <xdr:rowOff>45720</xdr:rowOff>
        </xdr:to>
        <xdr:sp macro="" textlink="">
          <xdr:nvSpPr>
            <xdr:cNvPr id="5130" name="Drop Dow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94994849-AE0F-4B88-B31F-B615C3E06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2</xdr:row>
          <xdr:rowOff>22860</xdr:rowOff>
        </xdr:from>
        <xdr:to>
          <xdr:col>11</xdr:col>
          <xdr:colOff>601980</xdr:colOff>
          <xdr:row>3</xdr:row>
          <xdr:rowOff>60960</xdr:rowOff>
        </xdr:to>
        <xdr:sp macro="" textlink="">
          <xdr:nvSpPr>
            <xdr:cNvPr id="5131" name="Drop Dow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BE4CA3FB-D65B-46AB-947F-92B085BC8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9</xdr:row>
          <xdr:rowOff>60960</xdr:rowOff>
        </xdr:from>
        <xdr:to>
          <xdr:col>11</xdr:col>
          <xdr:colOff>274320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39F31BF5-E4EF-4DC3-B03F-AF6442E7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9</xdr:row>
          <xdr:rowOff>144780</xdr:rowOff>
        </xdr:from>
        <xdr:to>
          <xdr:col>4</xdr:col>
          <xdr:colOff>213360</xdr:colOff>
          <xdr:row>11</xdr:row>
          <xdr:rowOff>68580</xdr:rowOff>
        </xdr:to>
        <xdr:sp macro="" textlink="">
          <xdr:nvSpPr>
            <xdr:cNvPr id="5133" name="Tree_Display_Button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66E7A75-3E00-4714-82D2-670C73E74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42</xdr:row>
      <xdr:rowOff>106680</xdr:rowOff>
    </xdr:from>
    <xdr:to>
      <xdr:col>2</xdr:col>
      <xdr:colOff>7620</xdr:colOff>
      <xdr:row>42</xdr:row>
      <xdr:rowOff>106680</xdr:rowOff>
    </xdr:to>
    <xdr:cxnSp macro="">
      <xdr:nvCxnSpPr>
        <xdr:cNvPr id="52153" name="Straight Connector 76">
          <a:extLst>
            <a:ext uri="{FF2B5EF4-FFF2-40B4-BE49-F238E27FC236}">
              <a16:creationId xmlns:a16="http://schemas.microsoft.com/office/drawing/2014/main" id="{B55389C6-4DFD-4CBB-A269-89DDC7171009}"/>
            </a:ext>
          </a:extLst>
        </xdr:cNvPr>
        <xdr:cNvCxnSpPr>
          <a:cxnSpLocks noChangeShapeType="1"/>
        </xdr:cNvCxnSpPr>
      </xdr:nvCxnSpPr>
      <xdr:spPr bwMode="auto">
        <a:xfrm>
          <a:off x="60960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609600</xdr:colOff>
      <xdr:row>38</xdr:row>
      <xdr:rowOff>137160</xdr:rowOff>
    </xdr:from>
    <xdr:to>
      <xdr:col>2</xdr:col>
      <xdr:colOff>7620</xdr:colOff>
      <xdr:row>42</xdr:row>
      <xdr:rowOff>106680</xdr:rowOff>
    </xdr:to>
    <xdr:cxnSp macro="">
      <xdr:nvCxnSpPr>
        <xdr:cNvPr id="52154" name="Straight Connector 77">
          <a:extLst>
            <a:ext uri="{FF2B5EF4-FFF2-40B4-BE49-F238E27FC236}">
              <a16:creationId xmlns:a16="http://schemas.microsoft.com/office/drawing/2014/main" id="{2084F6C2-2D08-4A5A-A66C-CC18CF570C63}"/>
            </a:ext>
          </a:extLst>
        </xdr:cNvPr>
        <xdr:cNvCxnSpPr>
          <a:cxnSpLocks noChangeShapeType="1"/>
        </xdr:cNvCxnSpPr>
      </xdr:nvCxnSpPr>
      <xdr:spPr bwMode="auto">
        <a:xfrm flipV="1">
          <a:off x="60960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609600</xdr:colOff>
      <xdr:row>42</xdr:row>
      <xdr:rowOff>106680</xdr:rowOff>
    </xdr:from>
    <xdr:to>
      <xdr:col>2</xdr:col>
      <xdr:colOff>7620</xdr:colOff>
      <xdr:row>46</xdr:row>
      <xdr:rowOff>83820</xdr:rowOff>
    </xdr:to>
    <xdr:cxnSp macro="">
      <xdr:nvCxnSpPr>
        <xdr:cNvPr id="52155" name="Straight Connector 78">
          <a:extLst>
            <a:ext uri="{FF2B5EF4-FFF2-40B4-BE49-F238E27FC236}">
              <a16:creationId xmlns:a16="http://schemas.microsoft.com/office/drawing/2014/main" id="{47137F41-A623-4C7E-BF1E-F82A85CBAC13}"/>
            </a:ext>
          </a:extLst>
        </xdr:cNvPr>
        <xdr:cNvCxnSpPr>
          <a:cxnSpLocks noChangeShapeType="1"/>
        </xdr:cNvCxnSpPr>
      </xdr:nvCxnSpPr>
      <xdr:spPr bwMode="auto">
        <a:xfrm>
          <a:off x="60960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46</xdr:row>
      <xdr:rowOff>99060</xdr:rowOff>
    </xdr:from>
    <xdr:to>
      <xdr:col>4</xdr:col>
      <xdr:colOff>0</xdr:colOff>
      <xdr:row>46</xdr:row>
      <xdr:rowOff>99060</xdr:rowOff>
    </xdr:to>
    <xdr:cxnSp macro="">
      <xdr:nvCxnSpPr>
        <xdr:cNvPr id="52156" name="Straight Connector 79">
          <a:extLst>
            <a:ext uri="{FF2B5EF4-FFF2-40B4-BE49-F238E27FC236}">
              <a16:creationId xmlns:a16="http://schemas.microsoft.com/office/drawing/2014/main" id="{0DA1742C-FBB9-4B80-8F72-9E20A61D6873}"/>
            </a:ext>
          </a:extLst>
        </xdr:cNvPr>
        <xdr:cNvCxnSpPr>
          <a:cxnSpLocks noChangeShapeType="1"/>
        </xdr:cNvCxnSpPr>
      </xdr:nvCxnSpPr>
      <xdr:spPr bwMode="auto">
        <a:xfrm>
          <a:off x="1600200" y="78105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42</xdr:row>
      <xdr:rowOff>121920</xdr:rowOff>
    </xdr:from>
    <xdr:to>
      <xdr:col>4</xdr:col>
      <xdr:colOff>0</xdr:colOff>
      <xdr:row>46</xdr:row>
      <xdr:rowOff>99060</xdr:rowOff>
    </xdr:to>
    <xdr:cxnSp macro="">
      <xdr:nvCxnSpPr>
        <xdr:cNvPr id="52157" name="Straight Connector 80">
          <a:extLst>
            <a:ext uri="{FF2B5EF4-FFF2-40B4-BE49-F238E27FC236}">
              <a16:creationId xmlns:a16="http://schemas.microsoft.com/office/drawing/2014/main" id="{356CBB44-2A33-4AEB-A4FE-C4303A12D4FA}"/>
            </a:ext>
          </a:extLst>
        </xdr:cNvPr>
        <xdr:cNvCxnSpPr>
          <a:cxnSpLocks noChangeShapeType="1"/>
        </xdr:cNvCxnSpPr>
      </xdr:nvCxnSpPr>
      <xdr:spPr bwMode="auto">
        <a:xfrm flipV="1">
          <a:off x="1600200" y="71628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46</xdr:row>
      <xdr:rowOff>99060</xdr:rowOff>
    </xdr:from>
    <xdr:to>
      <xdr:col>4</xdr:col>
      <xdr:colOff>0</xdr:colOff>
      <xdr:row>50</xdr:row>
      <xdr:rowOff>68580</xdr:rowOff>
    </xdr:to>
    <xdr:cxnSp macro="">
      <xdr:nvCxnSpPr>
        <xdr:cNvPr id="52158" name="Straight Connector 81">
          <a:extLst>
            <a:ext uri="{FF2B5EF4-FFF2-40B4-BE49-F238E27FC236}">
              <a16:creationId xmlns:a16="http://schemas.microsoft.com/office/drawing/2014/main" id="{07466091-BD18-47E3-8372-382C0EA65D9F}"/>
            </a:ext>
          </a:extLst>
        </xdr:cNvPr>
        <xdr:cNvCxnSpPr>
          <a:cxnSpLocks noChangeShapeType="1"/>
        </xdr:cNvCxnSpPr>
      </xdr:nvCxnSpPr>
      <xdr:spPr bwMode="auto">
        <a:xfrm>
          <a:off x="1600200" y="78105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42</xdr:row>
      <xdr:rowOff>106680</xdr:rowOff>
    </xdr:from>
    <xdr:to>
      <xdr:col>4</xdr:col>
      <xdr:colOff>0</xdr:colOff>
      <xdr:row>42</xdr:row>
      <xdr:rowOff>106680</xdr:rowOff>
    </xdr:to>
    <xdr:cxnSp macro="">
      <xdr:nvCxnSpPr>
        <xdr:cNvPr id="52159" name="Straight Connector 82">
          <a:extLst>
            <a:ext uri="{FF2B5EF4-FFF2-40B4-BE49-F238E27FC236}">
              <a16:creationId xmlns:a16="http://schemas.microsoft.com/office/drawing/2014/main" id="{C03E37F9-41FA-4902-BD4F-71A80FC57F2F}"/>
            </a:ext>
          </a:extLst>
        </xdr:cNvPr>
        <xdr:cNvCxnSpPr>
          <a:cxnSpLocks noChangeShapeType="1"/>
        </xdr:cNvCxnSpPr>
      </xdr:nvCxnSpPr>
      <xdr:spPr bwMode="auto">
        <a:xfrm>
          <a:off x="160020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38</xdr:row>
      <xdr:rowOff>137160</xdr:rowOff>
    </xdr:from>
    <xdr:to>
      <xdr:col>4</xdr:col>
      <xdr:colOff>0</xdr:colOff>
      <xdr:row>42</xdr:row>
      <xdr:rowOff>106680</xdr:rowOff>
    </xdr:to>
    <xdr:cxnSp macro="">
      <xdr:nvCxnSpPr>
        <xdr:cNvPr id="52160" name="Straight Connector 83">
          <a:extLst>
            <a:ext uri="{FF2B5EF4-FFF2-40B4-BE49-F238E27FC236}">
              <a16:creationId xmlns:a16="http://schemas.microsoft.com/office/drawing/2014/main" id="{BD2AA4DD-3767-4F69-9D72-C568E6184229}"/>
            </a:ext>
          </a:extLst>
        </xdr:cNvPr>
        <xdr:cNvCxnSpPr>
          <a:cxnSpLocks noChangeShapeType="1"/>
        </xdr:cNvCxnSpPr>
      </xdr:nvCxnSpPr>
      <xdr:spPr bwMode="auto">
        <a:xfrm flipV="1">
          <a:off x="160020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42</xdr:row>
      <xdr:rowOff>106680</xdr:rowOff>
    </xdr:from>
    <xdr:to>
      <xdr:col>4</xdr:col>
      <xdr:colOff>0</xdr:colOff>
      <xdr:row>46</xdr:row>
      <xdr:rowOff>83820</xdr:rowOff>
    </xdr:to>
    <xdr:cxnSp macro="">
      <xdr:nvCxnSpPr>
        <xdr:cNvPr id="52161" name="Straight Connector 84">
          <a:extLst>
            <a:ext uri="{FF2B5EF4-FFF2-40B4-BE49-F238E27FC236}">
              <a16:creationId xmlns:a16="http://schemas.microsoft.com/office/drawing/2014/main" id="{8DD463E9-E5D6-4C1B-9C9E-E7B9481CF9F6}"/>
            </a:ext>
          </a:extLst>
        </xdr:cNvPr>
        <xdr:cNvCxnSpPr>
          <a:cxnSpLocks noChangeShapeType="1"/>
        </xdr:cNvCxnSpPr>
      </xdr:nvCxnSpPr>
      <xdr:spPr bwMode="auto">
        <a:xfrm>
          <a:off x="160020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38</xdr:row>
      <xdr:rowOff>121920</xdr:rowOff>
    </xdr:from>
    <xdr:to>
      <xdr:col>4</xdr:col>
      <xdr:colOff>0</xdr:colOff>
      <xdr:row>38</xdr:row>
      <xdr:rowOff>121920</xdr:rowOff>
    </xdr:to>
    <xdr:cxnSp macro="">
      <xdr:nvCxnSpPr>
        <xdr:cNvPr id="52162" name="Straight Connector 85">
          <a:extLst>
            <a:ext uri="{FF2B5EF4-FFF2-40B4-BE49-F238E27FC236}">
              <a16:creationId xmlns:a16="http://schemas.microsoft.com/office/drawing/2014/main" id="{1B36B5E6-7BF8-4F9E-B6D8-0EFA672EA827}"/>
            </a:ext>
          </a:extLst>
        </xdr:cNvPr>
        <xdr:cNvCxnSpPr>
          <a:cxnSpLocks noChangeShapeType="1"/>
        </xdr:cNvCxnSpPr>
      </xdr:nvCxnSpPr>
      <xdr:spPr bwMode="auto">
        <a:xfrm>
          <a:off x="1600200" y="64922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34</xdr:row>
      <xdr:rowOff>144780</xdr:rowOff>
    </xdr:from>
    <xdr:to>
      <xdr:col>4</xdr:col>
      <xdr:colOff>0</xdr:colOff>
      <xdr:row>38</xdr:row>
      <xdr:rowOff>121920</xdr:rowOff>
    </xdr:to>
    <xdr:cxnSp macro="">
      <xdr:nvCxnSpPr>
        <xdr:cNvPr id="52163" name="Straight Connector 86">
          <a:extLst>
            <a:ext uri="{FF2B5EF4-FFF2-40B4-BE49-F238E27FC236}">
              <a16:creationId xmlns:a16="http://schemas.microsoft.com/office/drawing/2014/main" id="{2F20ABA2-37AC-4532-9730-E862756F85F9}"/>
            </a:ext>
          </a:extLst>
        </xdr:cNvPr>
        <xdr:cNvCxnSpPr>
          <a:cxnSpLocks noChangeShapeType="1"/>
        </xdr:cNvCxnSpPr>
      </xdr:nvCxnSpPr>
      <xdr:spPr bwMode="auto">
        <a:xfrm flipV="1">
          <a:off x="1600200" y="58445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601980</xdr:colOff>
      <xdr:row>38</xdr:row>
      <xdr:rowOff>121920</xdr:rowOff>
    </xdr:from>
    <xdr:to>
      <xdr:col>4</xdr:col>
      <xdr:colOff>0</xdr:colOff>
      <xdr:row>42</xdr:row>
      <xdr:rowOff>99060</xdr:rowOff>
    </xdr:to>
    <xdr:cxnSp macro="">
      <xdr:nvCxnSpPr>
        <xdr:cNvPr id="52164" name="Straight Connector 87">
          <a:extLst>
            <a:ext uri="{FF2B5EF4-FFF2-40B4-BE49-F238E27FC236}">
              <a16:creationId xmlns:a16="http://schemas.microsoft.com/office/drawing/2014/main" id="{9D694AA7-DDE4-469C-AA89-03460004B0AD}"/>
            </a:ext>
          </a:extLst>
        </xdr:cNvPr>
        <xdr:cNvCxnSpPr>
          <a:cxnSpLocks noChangeShapeType="1"/>
        </xdr:cNvCxnSpPr>
      </xdr:nvCxnSpPr>
      <xdr:spPr bwMode="auto">
        <a:xfrm>
          <a:off x="1600200" y="64922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50</xdr:row>
      <xdr:rowOff>83820</xdr:rowOff>
    </xdr:from>
    <xdr:to>
      <xdr:col>5</xdr:col>
      <xdr:colOff>388620</xdr:colOff>
      <xdr:row>50</xdr:row>
      <xdr:rowOff>83820</xdr:rowOff>
    </xdr:to>
    <xdr:cxnSp macro="">
      <xdr:nvCxnSpPr>
        <xdr:cNvPr id="52165" name="Straight Connector 88">
          <a:extLst>
            <a:ext uri="{FF2B5EF4-FFF2-40B4-BE49-F238E27FC236}">
              <a16:creationId xmlns:a16="http://schemas.microsoft.com/office/drawing/2014/main" id="{6BE663DD-9C28-4782-97B3-34539C8CF8CE}"/>
            </a:ext>
          </a:extLst>
        </xdr:cNvPr>
        <xdr:cNvCxnSpPr>
          <a:cxnSpLocks noChangeShapeType="1"/>
        </xdr:cNvCxnSpPr>
      </xdr:nvCxnSpPr>
      <xdr:spPr bwMode="auto">
        <a:xfrm>
          <a:off x="2598420" y="84658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46</xdr:row>
      <xdr:rowOff>106680</xdr:rowOff>
    </xdr:from>
    <xdr:to>
      <xdr:col>5</xdr:col>
      <xdr:colOff>388620</xdr:colOff>
      <xdr:row>50</xdr:row>
      <xdr:rowOff>83820</xdr:rowOff>
    </xdr:to>
    <xdr:cxnSp macro="">
      <xdr:nvCxnSpPr>
        <xdr:cNvPr id="52166" name="Straight Connector 89">
          <a:extLst>
            <a:ext uri="{FF2B5EF4-FFF2-40B4-BE49-F238E27FC236}">
              <a16:creationId xmlns:a16="http://schemas.microsoft.com/office/drawing/2014/main" id="{CB73EEA3-A1FE-4B52-84B6-D8C6E2396912}"/>
            </a:ext>
          </a:extLst>
        </xdr:cNvPr>
        <xdr:cNvCxnSpPr>
          <a:cxnSpLocks noChangeShapeType="1"/>
        </xdr:cNvCxnSpPr>
      </xdr:nvCxnSpPr>
      <xdr:spPr bwMode="auto">
        <a:xfrm flipV="1">
          <a:off x="2598420" y="78181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50</xdr:row>
      <xdr:rowOff>83820</xdr:rowOff>
    </xdr:from>
    <xdr:to>
      <xdr:col>5</xdr:col>
      <xdr:colOff>388620</xdr:colOff>
      <xdr:row>54</xdr:row>
      <xdr:rowOff>60960</xdr:rowOff>
    </xdr:to>
    <xdr:cxnSp macro="">
      <xdr:nvCxnSpPr>
        <xdr:cNvPr id="52167" name="Straight Connector 90">
          <a:extLst>
            <a:ext uri="{FF2B5EF4-FFF2-40B4-BE49-F238E27FC236}">
              <a16:creationId xmlns:a16="http://schemas.microsoft.com/office/drawing/2014/main" id="{76072BD3-C57A-4ED4-B913-10B376601A6C}"/>
            </a:ext>
          </a:extLst>
        </xdr:cNvPr>
        <xdr:cNvCxnSpPr>
          <a:cxnSpLocks noChangeShapeType="1"/>
        </xdr:cNvCxnSpPr>
      </xdr:nvCxnSpPr>
      <xdr:spPr bwMode="auto">
        <a:xfrm>
          <a:off x="2598420" y="84658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46</xdr:row>
      <xdr:rowOff>99060</xdr:rowOff>
    </xdr:from>
    <xdr:to>
      <xdr:col>5</xdr:col>
      <xdr:colOff>388620</xdr:colOff>
      <xdr:row>46</xdr:row>
      <xdr:rowOff>99060</xdr:rowOff>
    </xdr:to>
    <xdr:cxnSp macro="">
      <xdr:nvCxnSpPr>
        <xdr:cNvPr id="52168" name="Straight Connector 91">
          <a:extLst>
            <a:ext uri="{FF2B5EF4-FFF2-40B4-BE49-F238E27FC236}">
              <a16:creationId xmlns:a16="http://schemas.microsoft.com/office/drawing/2014/main" id="{219B6250-FD44-428A-A612-C14C8CDF14D3}"/>
            </a:ext>
          </a:extLst>
        </xdr:cNvPr>
        <xdr:cNvCxnSpPr>
          <a:cxnSpLocks noChangeShapeType="1"/>
        </xdr:cNvCxnSpPr>
      </xdr:nvCxnSpPr>
      <xdr:spPr bwMode="auto">
        <a:xfrm>
          <a:off x="2598420" y="78105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42</xdr:row>
      <xdr:rowOff>121920</xdr:rowOff>
    </xdr:from>
    <xdr:to>
      <xdr:col>5</xdr:col>
      <xdr:colOff>388620</xdr:colOff>
      <xdr:row>46</xdr:row>
      <xdr:rowOff>99060</xdr:rowOff>
    </xdr:to>
    <xdr:cxnSp macro="">
      <xdr:nvCxnSpPr>
        <xdr:cNvPr id="52169" name="Straight Connector 92">
          <a:extLst>
            <a:ext uri="{FF2B5EF4-FFF2-40B4-BE49-F238E27FC236}">
              <a16:creationId xmlns:a16="http://schemas.microsoft.com/office/drawing/2014/main" id="{CB59C371-8FA6-4EF1-BC62-617F82C02EE9}"/>
            </a:ext>
          </a:extLst>
        </xdr:cNvPr>
        <xdr:cNvCxnSpPr>
          <a:cxnSpLocks noChangeShapeType="1"/>
        </xdr:cNvCxnSpPr>
      </xdr:nvCxnSpPr>
      <xdr:spPr bwMode="auto">
        <a:xfrm flipV="1">
          <a:off x="2598420" y="71628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46</xdr:row>
      <xdr:rowOff>99060</xdr:rowOff>
    </xdr:from>
    <xdr:to>
      <xdr:col>5</xdr:col>
      <xdr:colOff>388620</xdr:colOff>
      <xdr:row>50</xdr:row>
      <xdr:rowOff>68580</xdr:rowOff>
    </xdr:to>
    <xdr:cxnSp macro="">
      <xdr:nvCxnSpPr>
        <xdr:cNvPr id="52170" name="Straight Connector 93">
          <a:extLst>
            <a:ext uri="{FF2B5EF4-FFF2-40B4-BE49-F238E27FC236}">
              <a16:creationId xmlns:a16="http://schemas.microsoft.com/office/drawing/2014/main" id="{18BCA05D-D919-49C6-B04D-BE59DE7D2D5B}"/>
            </a:ext>
          </a:extLst>
        </xdr:cNvPr>
        <xdr:cNvCxnSpPr>
          <a:cxnSpLocks noChangeShapeType="1"/>
        </xdr:cNvCxnSpPr>
      </xdr:nvCxnSpPr>
      <xdr:spPr bwMode="auto">
        <a:xfrm>
          <a:off x="2598420" y="78105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42</xdr:row>
      <xdr:rowOff>106680</xdr:rowOff>
    </xdr:from>
    <xdr:to>
      <xdr:col>5</xdr:col>
      <xdr:colOff>388620</xdr:colOff>
      <xdr:row>42</xdr:row>
      <xdr:rowOff>106680</xdr:rowOff>
    </xdr:to>
    <xdr:cxnSp macro="">
      <xdr:nvCxnSpPr>
        <xdr:cNvPr id="52171" name="Straight Connector 94">
          <a:extLst>
            <a:ext uri="{FF2B5EF4-FFF2-40B4-BE49-F238E27FC236}">
              <a16:creationId xmlns:a16="http://schemas.microsoft.com/office/drawing/2014/main" id="{BFCBE9CC-1728-48C9-B5B8-C12E439B6C03}"/>
            </a:ext>
          </a:extLst>
        </xdr:cNvPr>
        <xdr:cNvCxnSpPr>
          <a:cxnSpLocks noChangeShapeType="1"/>
        </xdr:cNvCxnSpPr>
      </xdr:nvCxnSpPr>
      <xdr:spPr bwMode="auto">
        <a:xfrm>
          <a:off x="259842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38</xdr:row>
      <xdr:rowOff>137160</xdr:rowOff>
    </xdr:from>
    <xdr:to>
      <xdr:col>5</xdr:col>
      <xdr:colOff>388620</xdr:colOff>
      <xdr:row>42</xdr:row>
      <xdr:rowOff>106680</xdr:rowOff>
    </xdr:to>
    <xdr:cxnSp macro="">
      <xdr:nvCxnSpPr>
        <xdr:cNvPr id="52172" name="Straight Connector 95">
          <a:extLst>
            <a:ext uri="{FF2B5EF4-FFF2-40B4-BE49-F238E27FC236}">
              <a16:creationId xmlns:a16="http://schemas.microsoft.com/office/drawing/2014/main" id="{9E22581F-EE9B-4718-9F22-95C28E110338}"/>
            </a:ext>
          </a:extLst>
        </xdr:cNvPr>
        <xdr:cNvCxnSpPr>
          <a:cxnSpLocks noChangeShapeType="1"/>
        </xdr:cNvCxnSpPr>
      </xdr:nvCxnSpPr>
      <xdr:spPr bwMode="auto">
        <a:xfrm flipV="1">
          <a:off x="259842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42</xdr:row>
      <xdr:rowOff>106680</xdr:rowOff>
    </xdr:from>
    <xdr:to>
      <xdr:col>5</xdr:col>
      <xdr:colOff>388620</xdr:colOff>
      <xdr:row>46</xdr:row>
      <xdr:rowOff>83820</xdr:rowOff>
    </xdr:to>
    <xdr:cxnSp macro="">
      <xdr:nvCxnSpPr>
        <xdr:cNvPr id="52173" name="Straight Connector 96">
          <a:extLst>
            <a:ext uri="{FF2B5EF4-FFF2-40B4-BE49-F238E27FC236}">
              <a16:creationId xmlns:a16="http://schemas.microsoft.com/office/drawing/2014/main" id="{619B66E2-1EE4-41E6-90AF-B50E09142BE4}"/>
            </a:ext>
          </a:extLst>
        </xdr:cNvPr>
        <xdr:cNvCxnSpPr>
          <a:cxnSpLocks noChangeShapeType="1"/>
        </xdr:cNvCxnSpPr>
      </xdr:nvCxnSpPr>
      <xdr:spPr bwMode="auto">
        <a:xfrm>
          <a:off x="259842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38</xdr:row>
      <xdr:rowOff>121920</xdr:rowOff>
    </xdr:from>
    <xdr:to>
      <xdr:col>5</xdr:col>
      <xdr:colOff>388620</xdr:colOff>
      <xdr:row>38</xdr:row>
      <xdr:rowOff>121920</xdr:rowOff>
    </xdr:to>
    <xdr:cxnSp macro="">
      <xdr:nvCxnSpPr>
        <xdr:cNvPr id="52174" name="Straight Connector 97">
          <a:extLst>
            <a:ext uri="{FF2B5EF4-FFF2-40B4-BE49-F238E27FC236}">
              <a16:creationId xmlns:a16="http://schemas.microsoft.com/office/drawing/2014/main" id="{03995234-05ED-47BF-AE0D-158CC882E01A}"/>
            </a:ext>
          </a:extLst>
        </xdr:cNvPr>
        <xdr:cNvCxnSpPr>
          <a:cxnSpLocks noChangeShapeType="1"/>
        </xdr:cNvCxnSpPr>
      </xdr:nvCxnSpPr>
      <xdr:spPr bwMode="auto">
        <a:xfrm>
          <a:off x="2598420" y="64922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34</xdr:row>
      <xdr:rowOff>144780</xdr:rowOff>
    </xdr:from>
    <xdr:to>
      <xdr:col>5</xdr:col>
      <xdr:colOff>388620</xdr:colOff>
      <xdr:row>38</xdr:row>
      <xdr:rowOff>121920</xdr:rowOff>
    </xdr:to>
    <xdr:cxnSp macro="">
      <xdr:nvCxnSpPr>
        <xdr:cNvPr id="52175" name="Straight Connector 98">
          <a:extLst>
            <a:ext uri="{FF2B5EF4-FFF2-40B4-BE49-F238E27FC236}">
              <a16:creationId xmlns:a16="http://schemas.microsoft.com/office/drawing/2014/main" id="{9909D2B2-9A45-457F-8CCE-F033556BA72A}"/>
            </a:ext>
          </a:extLst>
        </xdr:cNvPr>
        <xdr:cNvCxnSpPr>
          <a:cxnSpLocks noChangeShapeType="1"/>
        </xdr:cNvCxnSpPr>
      </xdr:nvCxnSpPr>
      <xdr:spPr bwMode="auto">
        <a:xfrm flipV="1">
          <a:off x="2598420" y="58445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38</xdr:row>
      <xdr:rowOff>121920</xdr:rowOff>
    </xdr:from>
    <xdr:to>
      <xdr:col>5</xdr:col>
      <xdr:colOff>388620</xdr:colOff>
      <xdr:row>42</xdr:row>
      <xdr:rowOff>99060</xdr:rowOff>
    </xdr:to>
    <xdr:cxnSp macro="">
      <xdr:nvCxnSpPr>
        <xdr:cNvPr id="52176" name="Straight Connector 99">
          <a:extLst>
            <a:ext uri="{FF2B5EF4-FFF2-40B4-BE49-F238E27FC236}">
              <a16:creationId xmlns:a16="http://schemas.microsoft.com/office/drawing/2014/main" id="{29CBA026-C3D6-44B7-ADEB-848F79675487}"/>
            </a:ext>
          </a:extLst>
        </xdr:cNvPr>
        <xdr:cNvCxnSpPr>
          <a:cxnSpLocks noChangeShapeType="1"/>
        </xdr:cNvCxnSpPr>
      </xdr:nvCxnSpPr>
      <xdr:spPr bwMode="auto">
        <a:xfrm>
          <a:off x="2598420" y="64922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34</xdr:row>
      <xdr:rowOff>137160</xdr:rowOff>
    </xdr:from>
    <xdr:to>
      <xdr:col>5</xdr:col>
      <xdr:colOff>388620</xdr:colOff>
      <xdr:row>34</xdr:row>
      <xdr:rowOff>137160</xdr:rowOff>
    </xdr:to>
    <xdr:cxnSp macro="">
      <xdr:nvCxnSpPr>
        <xdr:cNvPr id="52177" name="Straight Connector 100">
          <a:extLst>
            <a:ext uri="{FF2B5EF4-FFF2-40B4-BE49-F238E27FC236}">
              <a16:creationId xmlns:a16="http://schemas.microsoft.com/office/drawing/2014/main" id="{99A1FF81-0FEC-4D34-8432-1BD0573865A5}"/>
            </a:ext>
          </a:extLst>
        </xdr:cNvPr>
        <xdr:cNvCxnSpPr>
          <a:cxnSpLocks noChangeShapeType="1"/>
        </xdr:cNvCxnSpPr>
      </xdr:nvCxnSpPr>
      <xdr:spPr bwMode="auto">
        <a:xfrm>
          <a:off x="2598420" y="58369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30</xdr:row>
      <xdr:rowOff>160020</xdr:rowOff>
    </xdr:from>
    <xdr:to>
      <xdr:col>5</xdr:col>
      <xdr:colOff>388620</xdr:colOff>
      <xdr:row>34</xdr:row>
      <xdr:rowOff>137160</xdr:rowOff>
    </xdr:to>
    <xdr:cxnSp macro="">
      <xdr:nvCxnSpPr>
        <xdr:cNvPr id="52178" name="Straight Connector 101">
          <a:extLst>
            <a:ext uri="{FF2B5EF4-FFF2-40B4-BE49-F238E27FC236}">
              <a16:creationId xmlns:a16="http://schemas.microsoft.com/office/drawing/2014/main" id="{2E9CDBC6-1D9A-47C7-96B0-72F542EB8597}"/>
            </a:ext>
          </a:extLst>
        </xdr:cNvPr>
        <xdr:cNvCxnSpPr>
          <a:cxnSpLocks noChangeShapeType="1"/>
        </xdr:cNvCxnSpPr>
      </xdr:nvCxnSpPr>
      <xdr:spPr bwMode="auto">
        <a:xfrm flipV="1">
          <a:off x="2598420" y="51892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601980</xdr:colOff>
      <xdr:row>34</xdr:row>
      <xdr:rowOff>137160</xdr:rowOff>
    </xdr:from>
    <xdr:to>
      <xdr:col>5</xdr:col>
      <xdr:colOff>388620</xdr:colOff>
      <xdr:row>38</xdr:row>
      <xdr:rowOff>106680</xdr:rowOff>
    </xdr:to>
    <xdr:cxnSp macro="">
      <xdr:nvCxnSpPr>
        <xdr:cNvPr id="52179" name="Straight Connector 102">
          <a:extLst>
            <a:ext uri="{FF2B5EF4-FFF2-40B4-BE49-F238E27FC236}">
              <a16:creationId xmlns:a16="http://schemas.microsoft.com/office/drawing/2014/main" id="{4ECFF50E-84AF-40E1-BA69-3BAA1B8E6F10}"/>
            </a:ext>
          </a:extLst>
        </xdr:cNvPr>
        <xdr:cNvCxnSpPr>
          <a:cxnSpLocks noChangeShapeType="1"/>
        </xdr:cNvCxnSpPr>
      </xdr:nvCxnSpPr>
      <xdr:spPr bwMode="auto">
        <a:xfrm>
          <a:off x="2598420" y="58369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54</xdr:row>
      <xdr:rowOff>68580</xdr:rowOff>
    </xdr:from>
    <xdr:to>
      <xdr:col>7</xdr:col>
      <xdr:colOff>381000</xdr:colOff>
      <xdr:row>54</xdr:row>
      <xdr:rowOff>68580</xdr:rowOff>
    </xdr:to>
    <xdr:cxnSp macro="">
      <xdr:nvCxnSpPr>
        <xdr:cNvPr id="52180" name="Straight Connector 103">
          <a:extLst>
            <a:ext uri="{FF2B5EF4-FFF2-40B4-BE49-F238E27FC236}">
              <a16:creationId xmlns:a16="http://schemas.microsoft.com/office/drawing/2014/main" id="{AE8004EA-142B-4442-A4CA-0770AA4ABF49}"/>
            </a:ext>
          </a:extLst>
        </xdr:cNvPr>
        <xdr:cNvCxnSpPr>
          <a:cxnSpLocks noChangeShapeType="1"/>
        </xdr:cNvCxnSpPr>
      </xdr:nvCxnSpPr>
      <xdr:spPr bwMode="auto">
        <a:xfrm>
          <a:off x="3581400" y="912114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50</xdr:row>
      <xdr:rowOff>99060</xdr:rowOff>
    </xdr:from>
    <xdr:to>
      <xdr:col>7</xdr:col>
      <xdr:colOff>381000</xdr:colOff>
      <xdr:row>54</xdr:row>
      <xdr:rowOff>68580</xdr:rowOff>
    </xdr:to>
    <xdr:cxnSp macro="">
      <xdr:nvCxnSpPr>
        <xdr:cNvPr id="52181" name="Straight Connector 104">
          <a:extLst>
            <a:ext uri="{FF2B5EF4-FFF2-40B4-BE49-F238E27FC236}">
              <a16:creationId xmlns:a16="http://schemas.microsoft.com/office/drawing/2014/main" id="{5F6E07F7-3CED-424C-AC14-36C5F6E0AA4C}"/>
            </a:ext>
          </a:extLst>
        </xdr:cNvPr>
        <xdr:cNvCxnSpPr>
          <a:cxnSpLocks noChangeShapeType="1"/>
        </xdr:cNvCxnSpPr>
      </xdr:nvCxnSpPr>
      <xdr:spPr bwMode="auto">
        <a:xfrm flipV="1">
          <a:off x="3581400" y="848106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54</xdr:row>
      <xdr:rowOff>68580</xdr:rowOff>
    </xdr:from>
    <xdr:to>
      <xdr:col>7</xdr:col>
      <xdr:colOff>381000</xdr:colOff>
      <xdr:row>58</xdr:row>
      <xdr:rowOff>45720</xdr:rowOff>
    </xdr:to>
    <xdr:cxnSp macro="">
      <xdr:nvCxnSpPr>
        <xdr:cNvPr id="52182" name="Straight Connector 105">
          <a:extLst>
            <a:ext uri="{FF2B5EF4-FFF2-40B4-BE49-F238E27FC236}">
              <a16:creationId xmlns:a16="http://schemas.microsoft.com/office/drawing/2014/main" id="{F0508484-51A1-4668-882B-FB56D69BA3F3}"/>
            </a:ext>
          </a:extLst>
        </xdr:cNvPr>
        <xdr:cNvCxnSpPr>
          <a:cxnSpLocks noChangeShapeType="1"/>
        </xdr:cNvCxnSpPr>
      </xdr:nvCxnSpPr>
      <xdr:spPr bwMode="auto">
        <a:xfrm>
          <a:off x="3581400" y="91211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50</xdr:row>
      <xdr:rowOff>83820</xdr:rowOff>
    </xdr:from>
    <xdr:to>
      <xdr:col>7</xdr:col>
      <xdr:colOff>381000</xdr:colOff>
      <xdr:row>50</xdr:row>
      <xdr:rowOff>83820</xdr:rowOff>
    </xdr:to>
    <xdr:cxnSp macro="">
      <xdr:nvCxnSpPr>
        <xdr:cNvPr id="52183" name="Straight Connector 106">
          <a:extLst>
            <a:ext uri="{FF2B5EF4-FFF2-40B4-BE49-F238E27FC236}">
              <a16:creationId xmlns:a16="http://schemas.microsoft.com/office/drawing/2014/main" id="{7D598928-DE20-427F-8E99-B004CB510D64}"/>
            </a:ext>
          </a:extLst>
        </xdr:cNvPr>
        <xdr:cNvCxnSpPr>
          <a:cxnSpLocks noChangeShapeType="1"/>
        </xdr:cNvCxnSpPr>
      </xdr:nvCxnSpPr>
      <xdr:spPr bwMode="auto">
        <a:xfrm>
          <a:off x="3581400" y="846582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46</xdr:row>
      <xdr:rowOff>106680</xdr:rowOff>
    </xdr:from>
    <xdr:to>
      <xdr:col>7</xdr:col>
      <xdr:colOff>381000</xdr:colOff>
      <xdr:row>50</xdr:row>
      <xdr:rowOff>83820</xdr:rowOff>
    </xdr:to>
    <xdr:cxnSp macro="">
      <xdr:nvCxnSpPr>
        <xdr:cNvPr id="52184" name="Straight Connector 107">
          <a:extLst>
            <a:ext uri="{FF2B5EF4-FFF2-40B4-BE49-F238E27FC236}">
              <a16:creationId xmlns:a16="http://schemas.microsoft.com/office/drawing/2014/main" id="{C9DBE86B-A581-44B6-AD10-5282E018F438}"/>
            </a:ext>
          </a:extLst>
        </xdr:cNvPr>
        <xdr:cNvCxnSpPr>
          <a:cxnSpLocks noChangeShapeType="1"/>
        </xdr:cNvCxnSpPr>
      </xdr:nvCxnSpPr>
      <xdr:spPr bwMode="auto">
        <a:xfrm flipV="1">
          <a:off x="3581400" y="781812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50</xdr:row>
      <xdr:rowOff>83820</xdr:rowOff>
    </xdr:from>
    <xdr:to>
      <xdr:col>7</xdr:col>
      <xdr:colOff>381000</xdr:colOff>
      <xdr:row>54</xdr:row>
      <xdr:rowOff>60960</xdr:rowOff>
    </xdr:to>
    <xdr:cxnSp macro="">
      <xdr:nvCxnSpPr>
        <xdr:cNvPr id="52185" name="Straight Connector 108">
          <a:extLst>
            <a:ext uri="{FF2B5EF4-FFF2-40B4-BE49-F238E27FC236}">
              <a16:creationId xmlns:a16="http://schemas.microsoft.com/office/drawing/2014/main" id="{0D7EE4D4-6EF8-4AD5-BD7F-2034C1B03335}"/>
            </a:ext>
          </a:extLst>
        </xdr:cNvPr>
        <xdr:cNvCxnSpPr>
          <a:cxnSpLocks noChangeShapeType="1"/>
        </xdr:cNvCxnSpPr>
      </xdr:nvCxnSpPr>
      <xdr:spPr bwMode="auto">
        <a:xfrm>
          <a:off x="3581400" y="846582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46</xdr:row>
      <xdr:rowOff>99060</xdr:rowOff>
    </xdr:from>
    <xdr:to>
      <xdr:col>7</xdr:col>
      <xdr:colOff>381000</xdr:colOff>
      <xdr:row>46</xdr:row>
      <xdr:rowOff>99060</xdr:rowOff>
    </xdr:to>
    <xdr:cxnSp macro="">
      <xdr:nvCxnSpPr>
        <xdr:cNvPr id="52186" name="Straight Connector 109">
          <a:extLst>
            <a:ext uri="{FF2B5EF4-FFF2-40B4-BE49-F238E27FC236}">
              <a16:creationId xmlns:a16="http://schemas.microsoft.com/office/drawing/2014/main" id="{08B20C26-CEA0-4010-B653-1D6E70953333}"/>
            </a:ext>
          </a:extLst>
        </xdr:cNvPr>
        <xdr:cNvCxnSpPr>
          <a:cxnSpLocks noChangeShapeType="1"/>
        </xdr:cNvCxnSpPr>
      </xdr:nvCxnSpPr>
      <xdr:spPr bwMode="auto">
        <a:xfrm>
          <a:off x="3581400" y="781050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42</xdr:row>
      <xdr:rowOff>121920</xdr:rowOff>
    </xdr:from>
    <xdr:to>
      <xdr:col>7</xdr:col>
      <xdr:colOff>381000</xdr:colOff>
      <xdr:row>46</xdr:row>
      <xdr:rowOff>99060</xdr:rowOff>
    </xdr:to>
    <xdr:cxnSp macro="">
      <xdr:nvCxnSpPr>
        <xdr:cNvPr id="52187" name="Straight Connector 110">
          <a:extLst>
            <a:ext uri="{FF2B5EF4-FFF2-40B4-BE49-F238E27FC236}">
              <a16:creationId xmlns:a16="http://schemas.microsoft.com/office/drawing/2014/main" id="{368095C3-3890-4238-B47F-52551BE95250}"/>
            </a:ext>
          </a:extLst>
        </xdr:cNvPr>
        <xdr:cNvCxnSpPr>
          <a:cxnSpLocks noChangeShapeType="1"/>
        </xdr:cNvCxnSpPr>
      </xdr:nvCxnSpPr>
      <xdr:spPr bwMode="auto">
        <a:xfrm flipV="1">
          <a:off x="3581400" y="716280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46</xdr:row>
      <xdr:rowOff>99060</xdr:rowOff>
    </xdr:from>
    <xdr:to>
      <xdr:col>7</xdr:col>
      <xdr:colOff>381000</xdr:colOff>
      <xdr:row>50</xdr:row>
      <xdr:rowOff>68580</xdr:rowOff>
    </xdr:to>
    <xdr:cxnSp macro="">
      <xdr:nvCxnSpPr>
        <xdr:cNvPr id="52188" name="Straight Connector 111">
          <a:extLst>
            <a:ext uri="{FF2B5EF4-FFF2-40B4-BE49-F238E27FC236}">
              <a16:creationId xmlns:a16="http://schemas.microsoft.com/office/drawing/2014/main" id="{7A1DCDDE-90C5-4A2F-99B2-4C3F07D015FD}"/>
            </a:ext>
          </a:extLst>
        </xdr:cNvPr>
        <xdr:cNvCxnSpPr>
          <a:cxnSpLocks noChangeShapeType="1"/>
        </xdr:cNvCxnSpPr>
      </xdr:nvCxnSpPr>
      <xdr:spPr bwMode="auto">
        <a:xfrm>
          <a:off x="3581400" y="781050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42</xdr:row>
      <xdr:rowOff>106680</xdr:rowOff>
    </xdr:from>
    <xdr:to>
      <xdr:col>7</xdr:col>
      <xdr:colOff>381000</xdr:colOff>
      <xdr:row>42</xdr:row>
      <xdr:rowOff>106680</xdr:rowOff>
    </xdr:to>
    <xdr:cxnSp macro="">
      <xdr:nvCxnSpPr>
        <xdr:cNvPr id="52189" name="Straight Connector 112">
          <a:extLst>
            <a:ext uri="{FF2B5EF4-FFF2-40B4-BE49-F238E27FC236}">
              <a16:creationId xmlns:a16="http://schemas.microsoft.com/office/drawing/2014/main" id="{5B1E1E56-D2DB-4F96-815C-F8661DFA45B1}"/>
            </a:ext>
          </a:extLst>
        </xdr:cNvPr>
        <xdr:cNvCxnSpPr>
          <a:cxnSpLocks noChangeShapeType="1"/>
        </xdr:cNvCxnSpPr>
      </xdr:nvCxnSpPr>
      <xdr:spPr bwMode="auto">
        <a:xfrm>
          <a:off x="3581400" y="714756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38</xdr:row>
      <xdr:rowOff>137160</xdr:rowOff>
    </xdr:from>
    <xdr:to>
      <xdr:col>7</xdr:col>
      <xdr:colOff>381000</xdr:colOff>
      <xdr:row>42</xdr:row>
      <xdr:rowOff>106680</xdr:rowOff>
    </xdr:to>
    <xdr:cxnSp macro="">
      <xdr:nvCxnSpPr>
        <xdr:cNvPr id="52190" name="Straight Connector 113">
          <a:extLst>
            <a:ext uri="{FF2B5EF4-FFF2-40B4-BE49-F238E27FC236}">
              <a16:creationId xmlns:a16="http://schemas.microsoft.com/office/drawing/2014/main" id="{A1152170-72B9-4715-87AD-D3CE0016A97A}"/>
            </a:ext>
          </a:extLst>
        </xdr:cNvPr>
        <xdr:cNvCxnSpPr>
          <a:cxnSpLocks noChangeShapeType="1"/>
        </xdr:cNvCxnSpPr>
      </xdr:nvCxnSpPr>
      <xdr:spPr bwMode="auto">
        <a:xfrm flipV="1">
          <a:off x="3581400" y="650748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42</xdr:row>
      <xdr:rowOff>106680</xdr:rowOff>
    </xdr:from>
    <xdr:to>
      <xdr:col>7</xdr:col>
      <xdr:colOff>381000</xdr:colOff>
      <xdr:row>46</xdr:row>
      <xdr:rowOff>83820</xdr:rowOff>
    </xdr:to>
    <xdr:cxnSp macro="">
      <xdr:nvCxnSpPr>
        <xdr:cNvPr id="52191" name="Straight Connector 114">
          <a:extLst>
            <a:ext uri="{FF2B5EF4-FFF2-40B4-BE49-F238E27FC236}">
              <a16:creationId xmlns:a16="http://schemas.microsoft.com/office/drawing/2014/main" id="{1528DBB9-3D8F-4732-B08D-A8F5CD18DC7A}"/>
            </a:ext>
          </a:extLst>
        </xdr:cNvPr>
        <xdr:cNvCxnSpPr>
          <a:cxnSpLocks noChangeShapeType="1"/>
        </xdr:cNvCxnSpPr>
      </xdr:nvCxnSpPr>
      <xdr:spPr bwMode="auto">
        <a:xfrm>
          <a:off x="3581400" y="714756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38</xdr:row>
      <xdr:rowOff>121920</xdr:rowOff>
    </xdr:from>
    <xdr:to>
      <xdr:col>7</xdr:col>
      <xdr:colOff>381000</xdr:colOff>
      <xdr:row>38</xdr:row>
      <xdr:rowOff>121920</xdr:rowOff>
    </xdr:to>
    <xdr:cxnSp macro="">
      <xdr:nvCxnSpPr>
        <xdr:cNvPr id="52192" name="Straight Connector 115">
          <a:extLst>
            <a:ext uri="{FF2B5EF4-FFF2-40B4-BE49-F238E27FC236}">
              <a16:creationId xmlns:a16="http://schemas.microsoft.com/office/drawing/2014/main" id="{42FDC5B5-B203-496C-AE35-C20B555D463F}"/>
            </a:ext>
          </a:extLst>
        </xdr:cNvPr>
        <xdr:cNvCxnSpPr>
          <a:cxnSpLocks noChangeShapeType="1"/>
        </xdr:cNvCxnSpPr>
      </xdr:nvCxnSpPr>
      <xdr:spPr bwMode="auto">
        <a:xfrm>
          <a:off x="3581400" y="649224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34</xdr:row>
      <xdr:rowOff>144780</xdr:rowOff>
    </xdr:from>
    <xdr:to>
      <xdr:col>7</xdr:col>
      <xdr:colOff>381000</xdr:colOff>
      <xdr:row>38</xdr:row>
      <xdr:rowOff>121920</xdr:rowOff>
    </xdr:to>
    <xdr:cxnSp macro="">
      <xdr:nvCxnSpPr>
        <xdr:cNvPr id="52193" name="Straight Connector 116">
          <a:extLst>
            <a:ext uri="{FF2B5EF4-FFF2-40B4-BE49-F238E27FC236}">
              <a16:creationId xmlns:a16="http://schemas.microsoft.com/office/drawing/2014/main" id="{911535FE-2ABD-4951-8F13-3AB6FE9AEE65}"/>
            </a:ext>
          </a:extLst>
        </xdr:cNvPr>
        <xdr:cNvCxnSpPr>
          <a:cxnSpLocks noChangeShapeType="1"/>
        </xdr:cNvCxnSpPr>
      </xdr:nvCxnSpPr>
      <xdr:spPr bwMode="auto">
        <a:xfrm flipV="1">
          <a:off x="3581400" y="58445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38</xdr:row>
      <xdr:rowOff>121920</xdr:rowOff>
    </xdr:from>
    <xdr:to>
      <xdr:col>7</xdr:col>
      <xdr:colOff>381000</xdr:colOff>
      <xdr:row>42</xdr:row>
      <xdr:rowOff>99060</xdr:rowOff>
    </xdr:to>
    <xdr:cxnSp macro="">
      <xdr:nvCxnSpPr>
        <xdr:cNvPr id="52194" name="Straight Connector 117">
          <a:extLst>
            <a:ext uri="{FF2B5EF4-FFF2-40B4-BE49-F238E27FC236}">
              <a16:creationId xmlns:a16="http://schemas.microsoft.com/office/drawing/2014/main" id="{DFBAD7BC-C58E-473D-9B1C-D186B331CE46}"/>
            </a:ext>
          </a:extLst>
        </xdr:cNvPr>
        <xdr:cNvCxnSpPr>
          <a:cxnSpLocks noChangeShapeType="1"/>
        </xdr:cNvCxnSpPr>
      </xdr:nvCxnSpPr>
      <xdr:spPr bwMode="auto">
        <a:xfrm>
          <a:off x="3581400" y="64922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34</xdr:row>
      <xdr:rowOff>137160</xdr:rowOff>
    </xdr:from>
    <xdr:to>
      <xdr:col>7</xdr:col>
      <xdr:colOff>381000</xdr:colOff>
      <xdr:row>34</xdr:row>
      <xdr:rowOff>137160</xdr:rowOff>
    </xdr:to>
    <xdr:cxnSp macro="">
      <xdr:nvCxnSpPr>
        <xdr:cNvPr id="52195" name="Straight Connector 118">
          <a:extLst>
            <a:ext uri="{FF2B5EF4-FFF2-40B4-BE49-F238E27FC236}">
              <a16:creationId xmlns:a16="http://schemas.microsoft.com/office/drawing/2014/main" id="{931A6CAE-2A83-4120-B3A2-19CDA2CB6D94}"/>
            </a:ext>
          </a:extLst>
        </xdr:cNvPr>
        <xdr:cNvCxnSpPr>
          <a:cxnSpLocks noChangeShapeType="1"/>
        </xdr:cNvCxnSpPr>
      </xdr:nvCxnSpPr>
      <xdr:spPr bwMode="auto">
        <a:xfrm>
          <a:off x="3581400" y="583692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30</xdr:row>
      <xdr:rowOff>160020</xdr:rowOff>
    </xdr:from>
    <xdr:to>
      <xdr:col>7</xdr:col>
      <xdr:colOff>381000</xdr:colOff>
      <xdr:row>34</xdr:row>
      <xdr:rowOff>137160</xdr:rowOff>
    </xdr:to>
    <xdr:cxnSp macro="">
      <xdr:nvCxnSpPr>
        <xdr:cNvPr id="52196" name="Straight Connector 119">
          <a:extLst>
            <a:ext uri="{FF2B5EF4-FFF2-40B4-BE49-F238E27FC236}">
              <a16:creationId xmlns:a16="http://schemas.microsoft.com/office/drawing/2014/main" id="{7D980D1F-2E66-40B9-BF12-3B6EFD6794BA}"/>
            </a:ext>
          </a:extLst>
        </xdr:cNvPr>
        <xdr:cNvCxnSpPr>
          <a:cxnSpLocks noChangeShapeType="1"/>
        </xdr:cNvCxnSpPr>
      </xdr:nvCxnSpPr>
      <xdr:spPr bwMode="auto">
        <a:xfrm flipV="1">
          <a:off x="3581400" y="518922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34</xdr:row>
      <xdr:rowOff>137160</xdr:rowOff>
    </xdr:from>
    <xdr:to>
      <xdr:col>7</xdr:col>
      <xdr:colOff>381000</xdr:colOff>
      <xdr:row>38</xdr:row>
      <xdr:rowOff>106680</xdr:rowOff>
    </xdr:to>
    <xdr:cxnSp macro="">
      <xdr:nvCxnSpPr>
        <xdr:cNvPr id="52197" name="Straight Connector 120">
          <a:extLst>
            <a:ext uri="{FF2B5EF4-FFF2-40B4-BE49-F238E27FC236}">
              <a16:creationId xmlns:a16="http://schemas.microsoft.com/office/drawing/2014/main" id="{23F8CFB4-B242-46C1-B7F9-1BE1D59E84C6}"/>
            </a:ext>
          </a:extLst>
        </xdr:cNvPr>
        <xdr:cNvCxnSpPr>
          <a:cxnSpLocks noChangeShapeType="1"/>
        </xdr:cNvCxnSpPr>
      </xdr:nvCxnSpPr>
      <xdr:spPr bwMode="auto">
        <a:xfrm>
          <a:off x="3581400" y="583692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30</xdr:row>
      <xdr:rowOff>144780</xdr:rowOff>
    </xdr:from>
    <xdr:to>
      <xdr:col>7</xdr:col>
      <xdr:colOff>381000</xdr:colOff>
      <xdr:row>30</xdr:row>
      <xdr:rowOff>144780</xdr:rowOff>
    </xdr:to>
    <xdr:cxnSp macro="">
      <xdr:nvCxnSpPr>
        <xdr:cNvPr id="52198" name="Straight Connector 121">
          <a:extLst>
            <a:ext uri="{FF2B5EF4-FFF2-40B4-BE49-F238E27FC236}">
              <a16:creationId xmlns:a16="http://schemas.microsoft.com/office/drawing/2014/main" id="{A23569DE-18B8-423C-8100-E4EC7856D411}"/>
            </a:ext>
          </a:extLst>
        </xdr:cNvPr>
        <xdr:cNvCxnSpPr>
          <a:cxnSpLocks noChangeShapeType="1"/>
        </xdr:cNvCxnSpPr>
      </xdr:nvCxnSpPr>
      <xdr:spPr bwMode="auto">
        <a:xfrm>
          <a:off x="3581400" y="517398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27</xdr:row>
      <xdr:rowOff>7620</xdr:rowOff>
    </xdr:from>
    <xdr:to>
      <xdr:col>7</xdr:col>
      <xdr:colOff>381000</xdr:colOff>
      <xdr:row>30</xdr:row>
      <xdr:rowOff>144780</xdr:rowOff>
    </xdr:to>
    <xdr:cxnSp macro="">
      <xdr:nvCxnSpPr>
        <xdr:cNvPr id="52199" name="Straight Connector 122">
          <a:extLst>
            <a:ext uri="{FF2B5EF4-FFF2-40B4-BE49-F238E27FC236}">
              <a16:creationId xmlns:a16="http://schemas.microsoft.com/office/drawing/2014/main" id="{1EDBD745-5C1C-4361-A2B1-3D7388AF4E44}"/>
            </a:ext>
          </a:extLst>
        </xdr:cNvPr>
        <xdr:cNvCxnSpPr>
          <a:cxnSpLocks noChangeShapeType="1"/>
        </xdr:cNvCxnSpPr>
      </xdr:nvCxnSpPr>
      <xdr:spPr bwMode="auto">
        <a:xfrm flipV="1">
          <a:off x="3581400" y="453390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586740</xdr:colOff>
      <xdr:row>30</xdr:row>
      <xdr:rowOff>144780</xdr:rowOff>
    </xdr:from>
    <xdr:to>
      <xdr:col>7</xdr:col>
      <xdr:colOff>381000</xdr:colOff>
      <xdr:row>34</xdr:row>
      <xdr:rowOff>121920</xdr:rowOff>
    </xdr:to>
    <xdr:cxnSp macro="">
      <xdr:nvCxnSpPr>
        <xdr:cNvPr id="52200" name="Straight Connector 123">
          <a:extLst>
            <a:ext uri="{FF2B5EF4-FFF2-40B4-BE49-F238E27FC236}">
              <a16:creationId xmlns:a16="http://schemas.microsoft.com/office/drawing/2014/main" id="{149AB41F-2ACC-46EB-97BF-11468D0FCDCE}"/>
            </a:ext>
          </a:extLst>
        </xdr:cNvPr>
        <xdr:cNvCxnSpPr>
          <a:cxnSpLocks noChangeShapeType="1"/>
        </xdr:cNvCxnSpPr>
      </xdr:nvCxnSpPr>
      <xdr:spPr bwMode="auto">
        <a:xfrm>
          <a:off x="3581400" y="517398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58</xdr:row>
      <xdr:rowOff>60960</xdr:rowOff>
    </xdr:from>
    <xdr:to>
      <xdr:col>9</xdr:col>
      <xdr:colOff>365760</xdr:colOff>
      <xdr:row>58</xdr:row>
      <xdr:rowOff>60960</xdr:rowOff>
    </xdr:to>
    <xdr:cxnSp macro="">
      <xdr:nvCxnSpPr>
        <xdr:cNvPr id="52201" name="Straight Connector 124">
          <a:extLst>
            <a:ext uri="{FF2B5EF4-FFF2-40B4-BE49-F238E27FC236}">
              <a16:creationId xmlns:a16="http://schemas.microsoft.com/office/drawing/2014/main" id="{0C58889D-55FB-4A04-93B6-607E3CF67C08}"/>
            </a:ext>
          </a:extLst>
        </xdr:cNvPr>
        <xdr:cNvCxnSpPr>
          <a:cxnSpLocks noChangeShapeType="1"/>
        </xdr:cNvCxnSpPr>
      </xdr:nvCxnSpPr>
      <xdr:spPr bwMode="auto">
        <a:xfrm>
          <a:off x="4572000" y="97840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54</xdr:row>
      <xdr:rowOff>83820</xdr:rowOff>
    </xdr:from>
    <xdr:to>
      <xdr:col>9</xdr:col>
      <xdr:colOff>365760</xdr:colOff>
      <xdr:row>58</xdr:row>
      <xdr:rowOff>60960</xdr:rowOff>
    </xdr:to>
    <xdr:cxnSp macro="">
      <xdr:nvCxnSpPr>
        <xdr:cNvPr id="52202" name="Straight Connector 125">
          <a:extLst>
            <a:ext uri="{FF2B5EF4-FFF2-40B4-BE49-F238E27FC236}">
              <a16:creationId xmlns:a16="http://schemas.microsoft.com/office/drawing/2014/main" id="{D2F62959-C02A-495E-A43A-A0683B8A3737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91363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58</xdr:row>
      <xdr:rowOff>60960</xdr:rowOff>
    </xdr:from>
    <xdr:to>
      <xdr:col>9</xdr:col>
      <xdr:colOff>365760</xdr:colOff>
      <xdr:row>62</xdr:row>
      <xdr:rowOff>30480</xdr:rowOff>
    </xdr:to>
    <xdr:cxnSp macro="">
      <xdr:nvCxnSpPr>
        <xdr:cNvPr id="52203" name="Straight Connector 126">
          <a:extLst>
            <a:ext uri="{FF2B5EF4-FFF2-40B4-BE49-F238E27FC236}">
              <a16:creationId xmlns:a16="http://schemas.microsoft.com/office/drawing/2014/main" id="{D8D1C17F-4BB5-4527-89B2-BCB6AD090D17}"/>
            </a:ext>
          </a:extLst>
        </xdr:cNvPr>
        <xdr:cNvCxnSpPr>
          <a:cxnSpLocks noChangeShapeType="1"/>
        </xdr:cNvCxnSpPr>
      </xdr:nvCxnSpPr>
      <xdr:spPr bwMode="auto">
        <a:xfrm>
          <a:off x="4572000" y="97840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54</xdr:row>
      <xdr:rowOff>68580</xdr:rowOff>
    </xdr:from>
    <xdr:to>
      <xdr:col>9</xdr:col>
      <xdr:colOff>365760</xdr:colOff>
      <xdr:row>54</xdr:row>
      <xdr:rowOff>68580</xdr:rowOff>
    </xdr:to>
    <xdr:cxnSp macro="">
      <xdr:nvCxnSpPr>
        <xdr:cNvPr id="52204" name="Straight Connector 127">
          <a:extLst>
            <a:ext uri="{FF2B5EF4-FFF2-40B4-BE49-F238E27FC236}">
              <a16:creationId xmlns:a16="http://schemas.microsoft.com/office/drawing/2014/main" id="{FDB437DB-044D-4328-A671-F52100E616A2}"/>
            </a:ext>
          </a:extLst>
        </xdr:cNvPr>
        <xdr:cNvCxnSpPr>
          <a:cxnSpLocks noChangeShapeType="1"/>
        </xdr:cNvCxnSpPr>
      </xdr:nvCxnSpPr>
      <xdr:spPr bwMode="auto">
        <a:xfrm>
          <a:off x="4572000" y="91211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50</xdr:row>
      <xdr:rowOff>99060</xdr:rowOff>
    </xdr:from>
    <xdr:to>
      <xdr:col>9</xdr:col>
      <xdr:colOff>365760</xdr:colOff>
      <xdr:row>54</xdr:row>
      <xdr:rowOff>68580</xdr:rowOff>
    </xdr:to>
    <xdr:cxnSp macro="">
      <xdr:nvCxnSpPr>
        <xdr:cNvPr id="52205" name="Straight Connector 128">
          <a:extLst>
            <a:ext uri="{FF2B5EF4-FFF2-40B4-BE49-F238E27FC236}">
              <a16:creationId xmlns:a16="http://schemas.microsoft.com/office/drawing/2014/main" id="{12AEE3DF-C2BA-4C90-B2E4-9CBC64BB97FE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84810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54</xdr:row>
      <xdr:rowOff>68580</xdr:rowOff>
    </xdr:from>
    <xdr:to>
      <xdr:col>9</xdr:col>
      <xdr:colOff>365760</xdr:colOff>
      <xdr:row>58</xdr:row>
      <xdr:rowOff>45720</xdr:rowOff>
    </xdr:to>
    <xdr:cxnSp macro="">
      <xdr:nvCxnSpPr>
        <xdr:cNvPr id="52206" name="Straight Connector 129">
          <a:extLst>
            <a:ext uri="{FF2B5EF4-FFF2-40B4-BE49-F238E27FC236}">
              <a16:creationId xmlns:a16="http://schemas.microsoft.com/office/drawing/2014/main" id="{B674BB28-3807-4FE7-B81C-332BAB471D5A}"/>
            </a:ext>
          </a:extLst>
        </xdr:cNvPr>
        <xdr:cNvCxnSpPr>
          <a:cxnSpLocks noChangeShapeType="1"/>
        </xdr:cNvCxnSpPr>
      </xdr:nvCxnSpPr>
      <xdr:spPr bwMode="auto">
        <a:xfrm>
          <a:off x="4572000" y="91211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50</xdr:row>
      <xdr:rowOff>83820</xdr:rowOff>
    </xdr:from>
    <xdr:to>
      <xdr:col>9</xdr:col>
      <xdr:colOff>365760</xdr:colOff>
      <xdr:row>50</xdr:row>
      <xdr:rowOff>83820</xdr:rowOff>
    </xdr:to>
    <xdr:cxnSp macro="">
      <xdr:nvCxnSpPr>
        <xdr:cNvPr id="52207" name="Straight Connector 130">
          <a:extLst>
            <a:ext uri="{FF2B5EF4-FFF2-40B4-BE49-F238E27FC236}">
              <a16:creationId xmlns:a16="http://schemas.microsoft.com/office/drawing/2014/main" id="{513EA342-8A2E-4BFD-9270-3A215107FEA3}"/>
            </a:ext>
          </a:extLst>
        </xdr:cNvPr>
        <xdr:cNvCxnSpPr>
          <a:cxnSpLocks noChangeShapeType="1"/>
        </xdr:cNvCxnSpPr>
      </xdr:nvCxnSpPr>
      <xdr:spPr bwMode="auto">
        <a:xfrm>
          <a:off x="4572000" y="84658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46</xdr:row>
      <xdr:rowOff>106680</xdr:rowOff>
    </xdr:from>
    <xdr:to>
      <xdr:col>9</xdr:col>
      <xdr:colOff>365760</xdr:colOff>
      <xdr:row>50</xdr:row>
      <xdr:rowOff>83820</xdr:rowOff>
    </xdr:to>
    <xdr:cxnSp macro="">
      <xdr:nvCxnSpPr>
        <xdr:cNvPr id="52208" name="Straight Connector 131">
          <a:extLst>
            <a:ext uri="{FF2B5EF4-FFF2-40B4-BE49-F238E27FC236}">
              <a16:creationId xmlns:a16="http://schemas.microsoft.com/office/drawing/2014/main" id="{B05A3F61-52A0-4A65-BEFB-430F87392E49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78181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50</xdr:row>
      <xdr:rowOff>83820</xdr:rowOff>
    </xdr:from>
    <xdr:to>
      <xdr:col>9</xdr:col>
      <xdr:colOff>365760</xdr:colOff>
      <xdr:row>54</xdr:row>
      <xdr:rowOff>60960</xdr:rowOff>
    </xdr:to>
    <xdr:cxnSp macro="">
      <xdr:nvCxnSpPr>
        <xdr:cNvPr id="52209" name="Straight Connector 132">
          <a:extLst>
            <a:ext uri="{FF2B5EF4-FFF2-40B4-BE49-F238E27FC236}">
              <a16:creationId xmlns:a16="http://schemas.microsoft.com/office/drawing/2014/main" id="{155F5EE5-97E5-4D01-BAA2-1AC61E963BB2}"/>
            </a:ext>
          </a:extLst>
        </xdr:cNvPr>
        <xdr:cNvCxnSpPr>
          <a:cxnSpLocks noChangeShapeType="1"/>
        </xdr:cNvCxnSpPr>
      </xdr:nvCxnSpPr>
      <xdr:spPr bwMode="auto">
        <a:xfrm>
          <a:off x="4572000" y="84658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46</xdr:row>
      <xdr:rowOff>99060</xdr:rowOff>
    </xdr:from>
    <xdr:to>
      <xdr:col>9</xdr:col>
      <xdr:colOff>365760</xdr:colOff>
      <xdr:row>46</xdr:row>
      <xdr:rowOff>99060</xdr:rowOff>
    </xdr:to>
    <xdr:cxnSp macro="">
      <xdr:nvCxnSpPr>
        <xdr:cNvPr id="52210" name="Straight Connector 133">
          <a:extLst>
            <a:ext uri="{FF2B5EF4-FFF2-40B4-BE49-F238E27FC236}">
              <a16:creationId xmlns:a16="http://schemas.microsoft.com/office/drawing/2014/main" id="{98A627D2-3366-4887-A50F-6B7117733888}"/>
            </a:ext>
          </a:extLst>
        </xdr:cNvPr>
        <xdr:cNvCxnSpPr>
          <a:cxnSpLocks noChangeShapeType="1"/>
        </xdr:cNvCxnSpPr>
      </xdr:nvCxnSpPr>
      <xdr:spPr bwMode="auto">
        <a:xfrm>
          <a:off x="4572000" y="78105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42</xdr:row>
      <xdr:rowOff>121920</xdr:rowOff>
    </xdr:from>
    <xdr:to>
      <xdr:col>9</xdr:col>
      <xdr:colOff>365760</xdr:colOff>
      <xdr:row>46</xdr:row>
      <xdr:rowOff>99060</xdr:rowOff>
    </xdr:to>
    <xdr:cxnSp macro="">
      <xdr:nvCxnSpPr>
        <xdr:cNvPr id="52211" name="Straight Connector 134">
          <a:extLst>
            <a:ext uri="{FF2B5EF4-FFF2-40B4-BE49-F238E27FC236}">
              <a16:creationId xmlns:a16="http://schemas.microsoft.com/office/drawing/2014/main" id="{E6D09443-D9AC-402C-B0B6-367C0F39AB66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71628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46</xdr:row>
      <xdr:rowOff>99060</xdr:rowOff>
    </xdr:from>
    <xdr:to>
      <xdr:col>9</xdr:col>
      <xdr:colOff>365760</xdr:colOff>
      <xdr:row>50</xdr:row>
      <xdr:rowOff>68580</xdr:rowOff>
    </xdr:to>
    <xdr:cxnSp macro="">
      <xdr:nvCxnSpPr>
        <xdr:cNvPr id="52212" name="Straight Connector 135">
          <a:extLst>
            <a:ext uri="{FF2B5EF4-FFF2-40B4-BE49-F238E27FC236}">
              <a16:creationId xmlns:a16="http://schemas.microsoft.com/office/drawing/2014/main" id="{E3AC3670-0654-4E50-AF10-DF1594884435}"/>
            </a:ext>
          </a:extLst>
        </xdr:cNvPr>
        <xdr:cNvCxnSpPr>
          <a:cxnSpLocks noChangeShapeType="1"/>
        </xdr:cNvCxnSpPr>
      </xdr:nvCxnSpPr>
      <xdr:spPr bwMode="auto">
        <a:xfrm>
          <a:off x="4572000" y="78105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42</xdr:row>
      <xdr:rowOff>106680</xdr:rowOff>
    </xdr:from>
    <xdr:to>
      <xdr:col>9</xdr:col>
      <xdr:colOff>365760</xdr:colOff>
      <xdr:row>42</xdr:row>
      <xdr:rowOff>106680</xdr:rowOff>
    </xdr:to>
    <xdr:cxnSp macro="">
      <xdr:nvCxnSpPr>
        <xdr:cNvPr id="52213" name="Straight Connector 136">
          <a:extLst>
            <a:ext uri="{FF2B5EF4-FFF2-40B4-BE49-F238E27FC236}">
              <a16:creationId xmlns:a16="http://schemas.microsoft.com/office/drawing/2014/main" id="{62891C6A-2460-4DDB-BB48-D90820CFBB3C}"/>
            </a:ext>
          </a:extLst>
        </xdr:cNvPr>
        <xdr:cNvCxnSpPr>
          <a:cxnSpLocks noChangeShapeType="1"/>
        </xdr:cNvCxnSpPr>
      </xdr:nvCxnSpPr>
      <xdr:spPr bwMode="auto">
        <a:xfrm>
          <a:off x="457200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38</xdr:row>
      <xdr:rowOff>137160</xdr:rowOff>
    </xdr:from>
    <xdr:to>
      <xdr:col>9</xdr:col>
      <xdr:colOff>365760</xdr:colOff>
      <xdr:row>42</xdr:row>
      <xdr:rowOff>106680</xdr:rowOff>
    </xdr:to>
    <xdr:cxnSp macro="">
      <xdr:nvCxnSpPr>
        <xdr:cNvPr id="52214" name="Straight Connector 137">
          <a:extLst>
            <a:ext uri="{FF2B5EF4-FFF2-40B4-BE49-F238E27FC236}">
              <a16:creationId xmlns:a16="http://schemas.microsoft.com/office/drawing/2014/main" id="{86B8837E-7E1B-43C8-A413-9141D3AEB3F6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42</xdr:row>
      <xdr:rowOff>106680</xdr:rowOff>
    </xdr:from>
    <xdr:to>
      <xdr:col>9</xdr:col>
      <xdr:colOff>365760</xdr:colOff>
      <xdr:row>46</xdr:row>
      <xdr:rowOff>83820</xdr:rowOff>
    </xdr:to>
    <xdr:cxnSp macro="">
      <xdr:nvCxnSpPr>
        <xdr:cNvPr id="52215" name="Straight Connector 138">
          <a:extLst>
            <a:ext uri="{FF2B5EF4-FFF2-40B4-BE49-F238E27FC236}">
              <a16:creationId xmlns:a16="http://schemas.microsoft.com/office/drawing/2014/main" id="{CEF6B56B-A320-4216-A8B8-D0CAE7AD3DC8}"/>
            </a:ext>
          </a:extLst>
        </xdr:cNvPr>
        <xdr:cNvCxnSpPr>
          <a:cxnSpLocks noChangeShapeType="1"/>
        </xdr:cNvCxnSpPr>
      </xdr:nvCxnSpPr>
      <xdr:spPr bwMode="auto">
        <a:xfrm>
          <a:off x="457200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38</xdr:row>
      <xdr:rowOff>121920</xdr:rowOff>
    </xdr:from>
    <xdr:to>
      <xdr:col>9</xdr:col>
      <xdr:colOff>365760</xdr:colOff>
      <xdr:row>38</xdr:row>
      <xdr:rowOff>121920</xdr:rowOff>
    </xdr:to>
    <xdr:cxnSp macro="">
      <xdr:nvCxnSpPr>
        <xdr:cNvPr id="52216" name="Straight Connector 139">
          <a:extLst>
            <a:ext uri="{FF2B5EF4-FFF2-40B4-BE49-F238E27FC236}">
              <a16:creationId xmlns:a16="http://schemas.microsoft.com/office/drawing/2014/main" id="{8BBE4CCF-634F-4893-A135-26B66E86F39A}"/>
            </a:ext>
          </a:extLst>
        </xdr:cNvPr>
        <xdr:cNvCxnSpPr>
          <a:cxnSpLocks noChangeShapeType="1"/>
        </xdr:cNvCxnSpPr>
      </xdr:nvCxnSpPr>
      <xdr:spPr bwMode="auto">
        <a:xfrm>
          <a:off x="4572000" y="64922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34</xdr:row>
      <xdr:rowOff>144780</xdr:rowOff>
    </xdr:from>
    <xdr:to>
      <xdr:col>9</xdr:col>
      <xdr:colOff>365760</xdr:colOff>
      <xdr:row>38</xdr:row>
      <xdr:rowOff>121920</xdr:rowOff>
    </xdr:to>
    <xdr:cxnSp macro="">
      <xdr:nvCxnSpPr>
        <xdr:cNvPr id="52217" name="Straight Connector 140">
          <a:extLst>
            <a:ext uri="{FF2B5EF4-FFF2-40B4-BE49-F238E27FC236}">
              <a16:creationId xmlns:a16="http://schemas.microsoft.com/office/drawing/2014/main" id="{C2AD9AF0-2329-42A0-AAEA-56564F5C72A3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58445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38</xdr:row>
      <xdr:rowOff>121920</xdr:rowOff>
    </xdr:from>
    <xdr:to>
      <xdr:col>9</xdr:col>
      <xdr:colOff>365760</xdr:colOff>
      <xdr:row>42</xdr:row>
      <xdr:rowOff>99060</xdr:rowOff>
    </xdr:to>
    <xdr:cxnSp macro="">
      <xdr:nvCxnSpPr>
        <xdr:cNvPr id="52218" name="Straight Connector 141">
          <a:extLst>
            <a:ext uri="{FF2B5EF4-FFF2-40B4-BE49-F238E27FC236}">
              <a16:creationId xmlns:a16="http://schemas.microsoft.com/office/drawing/2014/main" id="{2C8554E7-C630-4AAF-AAF1-7470DA1DDA62}"/>
            </a:ext>
          </a:extLst>
        </xdr:cNvPr>
        <xdr:cNvCxnSpPr>
          <a:cxnSpLocks noChangeShapeType="1"/>
        </xdr:cNvCxnSpPr>
      </xdr:nvCxnSpPr>
      <xdr:spPr bwMode="auto">
        <a:xfrm>
          <a:off x="4572000" y="64922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34</xdr:row>
      <xdr:rowOff>137160</xdr:rowOff>
    </xdr:from>
    <xdr:to>
      <xdr:col>9</xdr:col>
      <xdr:colOff>365760</xdr:colOff>
      <xdr:row>34</xdr:row>
      <xdr:rowOff>137160</xdr:rowOff>
    </xdr:to>
    <xdr:cxnSp macro="">
      <xdr:nvCxnSpPr>
        <xdr:cNvPr id="52219" name="Straight Connector 142">
          <a:extLst>
            <a:ext uri="{FF2B5EF4-FFF2-40B4-BE49-F238E27FC236}">
              <a16:creationId xmlns:a16="http://schemas.microsoft.com/office/drawing/2014/main" id="{D134350A-1B48-4D55-B466-38DC20084A82}"/>
            </a:ext>
          </a:extLst>
        </xdr:cNvPr>
        <xdr:cNvCxnSpPr>
          <a:cxnSpLocks noChangeShapeType="1"/>
        </xdr:cNvCxnSpPr>
      </xdr:nvCxnSpPr>
      <xdr:spPr bwMode="auto">
        <a:xfrm>
          <a:off x="4572000" y="58369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30</xdr:row>
      <xdr:rowOff>160020</xdr:rowOff>
    </xdr:from>
    <xdr:to>
      <xdr:col>9</xdr:col>
      <xdr:colOff>365760</xdr:colOff>
      <xdr:row>34</xdr:row>
      <xdr:rowOff>137160</xdr:rowOff>
    </xdr:to>
    <xdr:cxnSp macro="">
      <xdr:nvCxnSpPr>
        <xdr:cNvPr id="52220" name="Straight Connector 143">
          <a:extLst>
            <a:ext uri="{FF2B5EF4-FFF2-40B4-BE49-F238E27FC236}">
              <a16:creationId xmlns:a16="http://schemas.microsoft.com/office/drawing/2014/main" id="{7457A822-7DA7-4068-B78C-0DBD189640D8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51892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34</xdr:row>
      <xdr:rowOff>137160</xdr:rowOff>
    </xdr:from>
    <xdr:to>
      <xdr:col>9</xdr:col>
      <xdr:colOff>365760</xdr:colOff>
      <xdr:row>38</xdr:row>
      <xdr:rowOff>106680</xdr:rowOff>
    </xdr:to>
    <xdr:cxnSp macro="">
      <xdr:nvCxnSpPr>
        <xdr:cNvPr id="52221" name="Straight Connector 144">
          <a:extLst>
            <a:ext uri="{FF2B5EF4-FFF2-40B4-BE49-F238E27FC236}">
              <a16:creationId xmlns:a16="http://schemas.microsoft.com/office/drawing/2014/main" id="{9BE3EA6D-19A3-4B20-8FE9-E57BF9645BAC}"/>
            </a:ext>
          </a:extLst>
        </xdr:cNvPr>
        <xdr:cNvCxnSpPr>
          <a:cxnSpLocks noChangeShapeType="1"/>
        </xdr:cNvCxnSpPr>
      </xdr:nvCxnSpPr>
      <xdr:spPr bwMode="auto">
        <a:xfrm>
          <a:off x="4572000" y="58369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30</xdr:row>
      <xdr:rowOff>144780</xdr:rowOff>
    </xdr:from>
    <xdr:to>
      <xdr:col>9</xdr:col>
      <xdr:colOff>365760</xdr:colOff>
      <xdr:row>30</xdr:row>
      <xdr:rowOff>144780</xdr:rowOff>
    </xdr:to>
    <xdr:cxnSp macro="">
      <xdr:nvCxnSpPr>
        <xdr:cNvPr id="52222" name="Straight Connector 145">
          <a:extLst>
            <a:ext uri="{FF2B5EF4-FFF2-40B4-BE49-F238E27FC236}">
              <a16:creationId xmlns:a16="http://schemas.microsoft.com/office/drawing/2014/main" id="{4C6EA661-D44A-469A-A10B-010599583312}"/>
            </a:ext>
          </a:extLst>
        </xdr:cNvPr>
        <xdr:cNvCxnSpPr>
          <a:cxnSpLocks noChangeShapeType="1"/>
        </xdr:cNvCxnSpPr>
      </xdr:nvCxnSpPr>
      <xdr:spPr bwMode="auto">
        <a:xfrm>
          <a:off x="4572000" y="51739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27</xdr:row>
      <xdr:rowOff>7620</xdr:rowOff>
    </xdr:from>
    <xdr:to>
      <xdr:col>9</xdr:col>
      <xdr:colOff>365760</xdr:colOff>
      <xdr:row>30</xdr:row>
      <xdr:rowOff>144780</xdr:rowOff>
    </xdr:to>
    <xdr:cxnSp macro="">
      <xdr:nvCxnSpPr>
        <xdr:cNvPr id="52223" name="Straight Connector 146">
          <a:extLst>
            <a:ext uri="{FF2B5EF4-FFF2-40B4-BE49-F238E27FC236}">
              <a16:creationId xmlns:a16="http://schemas.microsoft.com/office/drawing/2014/main" id="{0E451718-B18E-482D-97E6-924A5634262D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45339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30</xdr:row>
      <xdr:rowOff>144780</xdr:rowOff>
    </xdr:from>
    <xdr:to>
      <xdr:col>9</xdr:col>
      <xdr:colOff>365760</xdr:colOff>
      <xdr:row>34</xdr:row>
      <xdr:rowOff>121920</xdr:rowOff>
    </xdr:to>
    <xdr:cxnSp macro="">
      <xdr:nvCxnSpPr>
        <xdr:cNvPr id="68608" name="Straight Connector 147">
          <a:extLst>
            <a:ext uri="{FF2B5EF4-FFF2-40B4-BE49-F238E27FC236}">
              <a16:creationId xmlns:a16="http://schemas.microsoft.com/office/drawing/2014/main" id="{DE8C3D2D-DB42-475F-ACA2-87502CC8CCCE}"/>
            </a:ext>
          </a:extLst>
        </xdr:cNvPr>
        <xdr:cNvCxnSpPr>
          <a:cxnSpLocks noChangeShapeType="1"/>
        </xdr:cNvCxnSpPr>
      </xdr:nvCxnSpPr>
      <xdr:spPr bwMode="auto">
        <a:xfrm>
          <a:off x="4572000" y="51739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26</xdr:row>
      <xdr:rowOff>160020</xdr:rowOff>
    </xdr:from>
    <xdr:to>
      <xdr:col>9</xdr:col>
      <xdr:colOff>365760</xdr:colOff>
      <xdr:row>26</xdr:row>
      <xdr:rowOff>160020</xdr:rowOff>
    </xdr:to>
    <xdr:cxnSp macro="">
      <xdr:nvCxnSpPr>
        <xdr:cNvPr id="68609" name="Straight Connector 148">
          <a:extLst>
            <a:ext uri="{FF2B5EF4-FFF2-40B4-BE49-F238E27FC236}">
              <a16:creationId xmlns:a16="http://schemas.microsoft.com/office/drawing/2014/main" id="{1ED2C856-F921-4CDB-939C-6AA88B1BE09E}"/>
            </a:ext>
          </a:extLst>
        </xdr:cNvPr>
        <xdr:cNvCxnSpPr>
          <a:cxnSpLocks noChangeShapeType="1"/>
        </xdr:cNvCxnSpPr>
      </xdr:nvCxnSpPr>
      <xdr:spPr bwMode="auto">
        <a:xfrm>
          <a:off x="4572000" y="45186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23</xdr:row>
      <xdr:rowOff>15240</xdr:rowOff>
    </xdr:from>
    <xdr:to>
      <xdr:col>9</xdr:col>
      <xdr:colOff>365760</xdr:colOff>
      <xdr:row>26</xdr:row>
      <xdr:rowOff>160020</xdr:rowOff>
    </xdr:to>
    <xdr:cxnSp macro="">
      <xdr:nvCxnSpPr>
        <xdr:cNvPr id="68610" name="Straight Connector 149">
          <a:extLst>
            <a:ext uri="{FF2B5EF4-FFF2-40B4-BE49-F238E27FC236}">
              <a16:creationId xmlns:a16="http://schemas.microsoft.com/office/drawing/2014/main" id="{DCE0A407-F39E-462A-810B-1264FB3F8915}"/>
            </a:ext>
          </a:extLst>
        </xdr:cNvPr>
        <xdr:cNvCxnSpPr>
          <a:cxnSpLocks noChangeShapeType="1"/>
        </xdr:cNvCxnSpPr>
      </xdr:nvCxnSpPr>
      <xdr:spPr bwMode="auto">
        <a:xfrm flipV="1">
          <a:off x="4572000" y="38709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579120</xdr:colOff>
      <xdr:row>26</xdr:row>
      <xdr:rowOff>160020</xdr:rowOff>
    </xdr:from>
    <xdr:to>
      <xdr:col>9</xdr:col>
      <xdr:colOff>365760</xdr:colOff>
      <xdr:row>30</xdr:row>
      <xdr:rowOff>137160</xdr:rowOff>
    </xdr:to>
    <xdr:cxnSp macro="">
      <xdr:nvCxnSpPr>
        <xdr:cNvPr id="68611" name="Straight Connector 150">
          <a:extLst>
            <a:ext uri="{FF2B5EF4-FFF2-40B4-BE49-F238E27FC236}">
              <a16:creationId xmlns:a16="http://schemas.microsoft.com/office/drawing/2014/main" id="{F394FCAD-0B06-42BD-BE34-D2D20DD387E7}"/>
            </a:ext>
          </a:extLst>
        </xdr:cNvPr>
        <xdr:cNvCxnSpPr>
          <a:cxnSpLocks noChangeShapeType="1"/>
        </xdr:cNvCxnSpPr>
      </xdr:nvCxnSpPr>
      <xdr:spPr bwMode="auto">
        <a:xfrm>
          <a:off x="4572000" y="45186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62</xdr:row>
      <xdr:rowOff>45720</xdr:rowOff>
    </xdr:from>
    <xdr:to>
      <xdr:col>11</xdr:col>
      <xdr:colOff>365760</xdr:colOff>
      <xdr:row>62</xdr:row>
      <xdr:rowOff>45720</xdr:rowOff>
    </xdr:to>
    <xdr:cxnSp macro="">
      <xdr:nvCxnSpPr>
        <xdr:cNvPr id="68612" name="Straight Connector 151">
          <a:extLst>
            <a:ext uri="{FF2B5EF4-FFF2-40B4-BE49-F238E27FC236}">
              <a16:creationId xmlns:a16="http://schemas.microsoft.com/office/drawing/2014/main" id="{1A079FAA-6CA1-440D-AEA3-ABB3BE16FF80}"/>
            </a:ext>
          </a:extLst>
        </xdr:cNvPr>
        <xdr:cNvCxnSpPr>
          <a:cxnSpLocks noChangeShapeType="1"/>
        </xdr:cNvCxnSpPr>
      </xdr:nvCxnSpPr>
      <xdr:spPr bwMode="auto">
        <a:xfrm>
          <a:off x="5570220" y="104394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58</xdr:row>
      <xdr:rowOff>68580</xdr:rowOff>
    </xdr:from>
    <xdr:to>
      <xdr:col>11</xdr:col>
      <xdr:colOff>365760</xdr:colOff>
      <xdr:row>62</xdr:row>
      <xdr:rowOff>45720</xdr:rowOff>
    </xdr:to>
    <xdr:cxnSp macro="">
      <xdr:nvCxnSpPr>
        <xdr:cNvPr id="68613" name="Straight Connector 152">
          <a:extLst>
            <a:ext uri="{FF2B5EF4-FFF2-40B4-BE49-F238E27FC236}">
              <a16:creationId xmlns:a16="http://schemas.microsoft.com/office/drawing/2014/main" id="{94A4FA5B-BD1C-4CA7-90D3-3EC947E7C509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97917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62</xdr:row>
      <xdr:rowOff>45720</xdr:rowOff>
    </xdr:from>
    <xdr:to>
      <xdr:col>11</xdr:col>
      <xdr:colOff>365760</xdr:colOff>
      <xdr:row>66</xdr:row>
      <xdr:rowOff>15240</xdr:rowOff>
    </xdr:to>
    <xdr:cxnSp macro="">
      <xdr:nvCxnSpPr>
        <xdr:cNvPr id="68614" name="Straight Connector 153">
          <a:extLst>
            <a:ext uri="{FF2B5EF4-FFF2-40B4-BE49-F238E27FC236}">
              <a16:creationId xmlns:a16="http://schemas.microsoft.com/office/drawing/2014/main" id="{7E312872-A2B0-44F2-B92D-9634A1D1AF4B}"/>
            </a:ext>
          </a:extLst>
        </xdr:cNvPr>
        <xdr:cNvCxnSpPr>
          <a:cxnSpLocks noChangeShapeType="1"/>
        </xdr:cNvCxnSpPr>
      </xdr:nvCxnSpPr>
      <xdr:spPr bwMode="auto">
        <a:xfrm>
          <a:off x="5570220" y="104394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58</xdr:row>
      <xdr:rowOff>60960</xdr:rowOff>
    </xdr:from>
    <xdr:to>
      <xdr:col>11</xdr:col>
      <xdr:colOff>365760</xdr:colOff>
      <xdr:row>58</xdr:row>
      <xdr:rowOff>60960</xdr:rowOff>
    </xdr:to>
    <xdr:cxnSp macro="">
      <xdr:nvCxnSpPr>
        <xdr:cNvPr id="68615" name="Straight Connector 154">
          <a:extLst>
            <a:ext uri="{FF2B5EF4-FFF2-40B4-BE49-F238E27FC236}">
              <a16:creationId xmlns:a16="http://schemas.microsoft.com/office/drawing/2014/main" id="{B2FA8B7A-C3FE-43CC-9CBF-245FE6BC8ACA}"/>
            </a:ext>
          </a:extLst>
        </xdr:cNvPr>
        <xdr:cNvCxnSpPr>
          <a:cxnSpLocks noChangeShapeType="1"/>
        </xdr:cNvCxnSpPr>
      </xdr:nvCxnSpPr>
      <xdr:spPr bwMode="auto">
        <a:xfrm>
          <a:off x="5570220" y="97840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54</xdr:row>
      <xdr:rowOff>83820</xdr:rowOff>
    </xdr:from>
    <xdr:to>
      <xdr:col>11</xdr:col>
      <xdr:colOff>365760</xdr:colOff>
      <xdr:row>58</xdr:row>
      <xdr:rowOff>60960</xdr:rowOff>
    </xdr:to>
    <xdr:cxnSp macro="">
      <xdr:nvCxnSpPr>
        <xdr:cNvPr id="68616" name="Straight Connector 155">
          <a:extLst>
            <a:ext uri="{FF2B5EF4-FFF2-40B4-BE49-F238E27FC236}">
              <a16:creationId xmlns:a16="http://schemas.microsoft.com/office/drawing/2014/main" id="{A82E785B-519B-4054-B43B-CD07C54278E6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91363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58</xdr:row>
      <xdr:rowOff>60960</xdr:rowOff>
    </xdr:from>
    <xdr:to>
      <xdr:col>11</xdr:col>
      <xdr:colOff>365760</xdr:colOff>
      <xdr:row>62</xdr:row>
      <xdr:rowOff>30480</xdr:rowOff>
    </xdr:to>
    <xdr:cxnSp macro="">
      <xdr:nvCxnSpPr>
        <xdr:cNvPr id="68617" name="Straight Connector 156">
          <a:extLst>
            <a:ext uri="{FF2B5EF4-FFF2-40B4-BE49-F238E27FC236}">
              <a16:creationId xmlns:a16="http://schemas.microsoft.com/office/drawing/2014/main" id="{B29A82B9-BC7E-4A20-8824-BC545D17922E}"/>
            </a:ext>
          </a:extLst>
        </xdr:cNvPr>
        <xdr:cNvCxnSpPr>
          <a:cxnSpLocks noChangeShapeType="1"/>
        </xdr:cNvCxnSpPr>
      </xdr:nvCxnSpPr>
      <xdr:spPr bwMode="auto">
        <a:xfrm>
          <a:off x="5570220" y="97840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54</xdr:row>
      <xdr:rowOff>68580</xdr:rowOff>
    </xdr:from>
    <xdr:to>
      <xdr:col>11</xdr:col>
      <xdr:colOff>365760</xdr:colOff>
      <xdr:row>54</xdr:row>
      <xdr:rowOff>68580</xdr:rowOff>
    </xdr:to>
    <xdr:cxnSp macro="">
      <xdr:nvCxnSpPr>
        <xdr:cNvPr id="68618" name="Straight Connector 157">
          <a:extLst>
            <a:ext uri="{FF2B5EF4-FFF2-40B4-BE49-F238E27FC236}">
              <a16:creationId xmlns:a16="http://schemas.microsoft.com/office/drawing/2014/main" id="{BEF1AC80-BB87-4516-9E97-DDB31C9A1B79}"/>
            </a:ext>
          </a:extLst>
        </xdr:cNvPr>
        <xdr:cNvCxnSpPr>
          <a:cxnSpLocks noChangeShapeType="1"/>
        </xdr:cNvCxnSpPr>
      </xdr:nvCxnSpPr>
      <xdr:spPr bwMode="auto">
        <a:xfrm>
          <a:off x="5570220" y="91211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50</xdr:row>
      <xdr:rowOff>99060</xdr:rowOff>
    </xdr:from>
    <xdr:to>
      <xdr:col>11</xdr:col>
      <xdr:colOff>365760</xdr:colOff>
      <xdr:row>54</xdr:row>
      <xdr:rowOff>68580</xdr:rowOff>
    </xdr:to>
    <xdr:cxnSp macro="">
      <xdr:nvCxnSpPr>
        <xdr:cNvPr id="68619" name="Straight Connector 158">
          <a:extLst>
            <a:ext uri="{FF2B5EF4-FFF2-40B4-BE49-F238E27FC236}">
              <a16:creationId xmlns:a16="http://schemas.microsoft.com/office/drawing/2014/main" id="{9A8DDF65-DBB4-401F-AC53-6C324C0FFCEB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84810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54</xdr:row>
      <xdr:rowOff>68580</xdr:rowOff>
    </xdr:from>
    <xdr:to>
      <xdr:col>11</xdr:col>
      <xdr:colOff>365760</xdr:colOff>
      <xdr:row>58</xdr:row>
      <xdr:rowOff>45720</xdr:rowOff>
    </xdr:to>
    <xdr:cxnSp macro="">
      <xdr:nvCxnSpPr>
        <xdr:cNvPr id="68620" name="Straight Connector 159">
          <a:extLst>
            <a:ext uri="{FF2B5EF4-FFF2-40B4-BE49-F238E27FC236}">
              <a16:creationId xmlns:a16="http://schemas.microsoft.com/office/drawing/2014/main" id="{100A2173-073A-4DC3-B1B7-531073DD8E30}"/>
            </a:ext>
          </a:extLst>
        </xdr:cNvPr>
        <xdr:cNvCxnSpPr>
          <a:cxnSpLocks noChangeShapeType="1"/>
        </xdr:cNvCxnSpPr>
      </xdr:nvCxnSpPr>
      <xdr:spPr bwMode="auto">
        <a:xfrm>
          <a:off x="5570220" y="91211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50</xdr:row>
      <xdr:rowOff>83820</xdr:rowOff>
    </xdr:from>
    <xdr:to>
      <xdr:col>11</xdr:col>
      <xdr:colOff>365760</xdr:colOff>
      <xdr:row>50</xdr:row>
      <xdr:rowOff>83820</xdr:rowOff>
    </xdr:to>
    <xdr:cxnSp macro="">
      <xdr:nvCxnSpPr>
        <xdr:cNvPr id="68621" name="Straight Connector 160">
          <a:extLst>
            <a:ext uri="{FF2B5EF4-FFF2-40B4-BE49-F238E27FC236}">
              <a16:creationId xmlns:a16="http://schemas.microsoft.com/office/drawing/2014/main" id="{A559B3C2-E5B4-4B3E-A367-B22473AE1A99}"/>
            </a:ext>
          </a:extLst>
        </xdr:cNvPr>
        <xdr:cNvCxnSpPr>
          <a:cxnSpLocks noChangeShapeType="1"/>
        </xdr:cNvCxnSpPr>
      </xdr:nvCxnSpPr>
      <xdr:spPr bwMode="auto">
        <a:xfrm>
          <a:off x="5570220" y="84658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46</xdr:row>
      <xdr:rowOff>106680</xdr:rowOff>
    </xdr:from>
    <xdr:to>
      <xdr:col>11</xdr:col>
      <xdr:colOff>365760</xdr:colOff>
      <xdr:row>50</xdr:row>
      <xdr:rowOff>83820</xdr:rowOff>
    </xdr:to>
    <xdr:cxnSp macro="">
      <xdr:nvCxnSpPr>
        <xdr:cNvPr id="68622" name="Straight Connector 161">
          <a:extLst>
            <a:ext uri="{FF2B5EF4-FFF2-40B4-BE49-F238E27FC236}">
              <a16:creationId xmlns:a16="http://schemas.microsoft.com/office/drawing/2014/main" id="{E759B711-2C50-4249-9238-BF14626D3634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78181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50</xdr:row>
      <xdr:rowOff>83820</xdr:rowOff>
    </xdr:from>
    <xdr:to>
      <xdr:col>11</xdr:col>
      <xdr:colOff>365760</xdr:colOff>
      <xdr:row>54</xdr:row>
      <xdr:rowOff>60960</xdr:rowOff>
    </xdr:to>
    <xdr:cxnSp macro="">
      <xdr:nvCxnSpPr>
        <xdr:cNvPr id="68623" name="Straight Connector 162">
          <a:extLst>
            <a:ext uri="{FF2B5EF4-FFF2-40B4-BE49-F238E27FC236}">
              <a16:creationId xmlns:a16="http://schemas.microsoft.com/office/drawing/2014/main" id="{70A73E67-DD4A-4319-915A-0A385B6B9E6F}"/>
            </a:ext>
          </a:extLst>
        </xdr:cNvPr>
        <xdr:cNvCxnSpPr>
          <a:cxnSpLocks noChangeShapeType="1"/>
        </xdr:cNvCxnSpPr>
      </xdr:nvCxnSpPr>
      <xdr:spPr bwMode="auto">
        <a:xfrm>
          <a:off x="5570220" y="84658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46</xdr:row>
      <xdr:rowOff>99060</xdr:rowOff>
    </xdr:from>
    <xdr:to>
      <xdr:col>11</xdr:col>
      <xdr:colOff>365760</xdr:colOff>
      <xdr:row>46</xdr:row>
      <xdr:rowOff>99060</xdr:rowOff>
    </xdr:to>
    <xdr:cxnSp macro="">
      <xdr:nvCxnSpPr>
        <xdr:cNvPr id="68624" name="Straight Connector 163">
          <a:extLst>
            <a:ext uri="{FF2B5EF4-FFF2-40B4-BE49-F238E27FC236}">
              <a16:creationId xmlns:a16="http://schemas.microsoft.com/office/drawing/2014/main" id="{A1EB1E66-B67F-40C5-9F3A-448D0E36325D}"/>
            </a:ext>
          </a:extLst>
        </xdr:cNvPr>
        <xdr:cNvCxnSpPr>
          <a:cxnSpLocks noChangeShapeType="1"/>
        </xdr:cNvCxnSpPr>
      </xdr:nvCxnSpPr>
      <xdr:spPr bwMode="auto">
        <a:xfrm>
          <a:off x="5570220" y="78105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42</xdr:row>
      <xdr:rowOff>121920</xdr:rowOff>
    </xdr:from>
    <xdr:to>
      <xdr:col>11</xdr:col>
      <xdr:colOff>365760</xdr:colOff>
      <xdr:row>46</xdr:row>
      <xdr:rowOff>99060</xdr:rowOff>
    </xdr:to>
    <xdr:cxnSp macro="">
      <xdr:nvCxnSpPr>
        <xdr:cNvPr id="68625" name="Straight Connector 164">
          <a:extLst>
            <a:ext uri="{FF2B5EF4-FFF2-40B4-BE49-F238E27FC236}">
              <a16:creationId xmlns:a16="http://schemas.microsoft.com/office/drawing/2014/main" id="{FDD89991-0D58-40B7-AEAD-EED99496BA55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71628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46</xdr:row>
      <xdr:rowOff>99060</xdr:rowOff>
    </xdr:from>
    <xdr:to>
      <xdr:col>11</xdr:col>
      <xdr:colOff>365760</xdr:colOff>
      <xdr:row>50</xdr:row>
      <xdr:rowOff>68580</xdr:rowOff>
    </xdr:to>
    <xdr:cxnSp macro="">
      <xdr:nvCxnSpPr>
        <xdr:cNvPr id="68626" name="Straight Connector 165">
          <a:extLst>
            <a:ext uri="{FF2B5EF4-FFF2-40B4-BE49-F238E27FC236}">
              <a16:creationId xmlns:a16="http://schemas.microsoft.com/office/drawing/2014/main" id="{909A5023-193D-4DEB-9C27-9A5B32BD7305}"/>
            </a:ext>
          </a:extLst>
        </xdr:cNvPr>
        <xdr:cNvCxnSpPr>
          <a:cxnSpLocks noChangeShapeType="1"/>
        </xdr:cNvCxnSpPr>
      </xdr:nvCxnSpPr>
      <xdr:spPr bwMode="auto">
        <a:xfrm>
          <a:off x="5570220" y="78105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42</xdr:row>
      <xdr:rowOff>106680</xdr:rowOff>
    </xdr:from>
    <xdr:to>
      <xdr:col>11</xdr:col>
      <xdr:colOff>365760</xdr:colOff>
      <xdr:row>42</xdr:row>
      <xdr:rowOff>106680</xdr:rowOff>
    </xdr:to>
    <xdr:cxnSp macro="">
      <xdr:nvCxnSpPr>
        <xdr:cNvPr id="68627" name="Straight Connector 166">
          <a:extLst>
            <a:ext uri="{FF2B5EF4-FFF2-40B4-BE49-F238E27FC236}">
              <a16:creationId xmlns:a16="http://schemas.microsoft.com/office/drawing/2014/main" id="{DCECE9AB-C919-4221-A4AD-F135F788A1EA}"/>
            </a:ext>
          </a:extLst>
        </xdr:cNvPr>
        <xdr:cNvCxnSpPr>
          <a:cxnSpLocks noChangeShapeType="1"/>
        </xdr:cNvCxnSpPr>
      </xdr:nvCxnSpPr>
      <xdr:spPr bwMode="auto">
        <a:xfrm>
          <a:off x="557022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38</xdr:row>
      <xdr:rowOff>137160</xdr:rowOff>
    </xdr:from>
    <xdr:to>
      <xdr:col>11</xdr:col>
      <xdr:colOff>365760</xdr:colOff>
      <xdr:row>42</xdr:row>
      <xdr:rowOff>106680</xdr:rowOff>
    </xdr:to>
    <xdr:cxnSp macro="">
      <xdr:nvCxnSpPr>
        <xdr:cNvPr id="68628" name="Straight Connector 167">
          <a:extLst>
            <a:ext uri="{FF2B5EF4-FFF2-40B4-BE49-F238E27FC236}">
              <a16:creationId xmlns:a16="http://schemas.microsoft.com/office/drawing/2014/main" id="{5BFB24F6-CA46-437E-84E3-2232BC8AC1A1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42</xdr:row>
      <xdr:rowOff>106680</xdr:rowOff>
    </xdr:from>
    <xdr:to>
      <xdr:col>11</xdr:col>
      <xdr:colOff>365760</xdr:colOff>
      <xdr:row>46</xdr:row>
      <xdr:rowOff>83820</xdr:rowOff>
    </xdr:to>
    <xdr:cxnSp macro="">
      <xdr:nvCxnSpPr>
        <xdr:cNvPr id="68629" name="Straight Connector 168">
          <a:extLst>
            <a:ext uri="{FF2B5EF4-FFF2-40B4-BE49-F238E27FC236}">
              <a16:creationId xmlns:a16="http://schemas.microsoft.com/office/drawing/2014/main" id="{7CA5FD7E-835C-4ADF-87FB-CFE6CB15E977}"/>
            </a:ext>
          </a:extLst>
        </xdr:cNvPr>
        <xdr:cNvCxnSpPr>
          <a:cxnSpLocks noChangeShapeType="1"/>
        </xdr:cNvCxnSpPr>
      </xdr:nvCxnSpPr>
      <xdr:spPr bwMode="auto">
        <a:xfrm>
          <a:off x="557022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38</xdr:row>
      <xdr:rowOff>121920</xdr:rowOff>
    </xdr:from>
    <xdr:to>
      <xdr:col>11</xdr:col>
      <xdr:colOff>365760</xdr:colOff>
      <xdr:row>38</xdr:row>
      <xdr:rowOff>121920</xdr:rowOff>
    </xdr:to>
    <xdr:cxnSp macro="">
      <xdr:nvCxnSpPr>
        <xdr:cNvPr id="68630" name="Straight Connector 169">
          <a:extLst>
            <a:ext uri="{FF2B5EF4-FFF2-40B4-BE49-F238E27FC236}">
              <a16:creationId xmlns:a16="http://schemas.microsoft.com/office/drawing/2014/main" id="{1FB10016-0A30-4897-B3A5-07C93FD9AAD9}"/>
            </a:ext>
          </a:extLst>
        </xdr:cNvPr>
        <xdr:cNvCxnSpPr>
          <a:cxnSpLocks noChangeShapeType="1"/>
        </xdr:cNvCxnSpPr>
      </xdr:nvCxnSpPr>
      <xdr:spPr bwMode="auto">
        <a:xfrm>
          <a:off x="5570220" y="64922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34</xdr:row>
      <xdr:rowOff>144780</xdr:rowOff>
    </xdr:from>
    <xdr:to>
      <xdr:col>11</xdr:col>
      <xdr:colOff>365760</xdr:colOff>
      <xdr:row>38</xdr:row>
      <xdr:rowOff>121920</xdr:rowOff>
    </xdr:to>
    <xdr:cxnSp macro="">
      <xdr:nvCxnSpPr>
        <xdr:cNvPr id="68631" name="Straight Connector 170">
          <a:extLst>
            <a:ext uri="{FF2B5EF4-FFF2-40B4-BE49-F238E27FC236}">
              <a16:creationId xmlns:a16="http://schemas.microsoft.com/office/drawing/2014/main" id="{03F6FAD7-76C7-4E44-87D1-C53D05E3079F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58445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38</xdr:row>
      <xdr:rowOff>121920</xdr:rowOff>
    </xdr:from>
    <xdr:to>
      <xdr:col>11</xdr:col>
      <xdr:colOff>365760</xdr:colOff>
      <xdr:row>42</xdr:row>
      <xdr:rowOff>99060</xdr:rowOff>
    </xdr:to>
    <xdr:cxnSp macro="">
      <xdr:nvCxnSpPr>
        <xdr:cNvPr id="68632" name="Straight Connector 171">
          <a:extLst>
            <a:ext uri="{FF2B5EF4-FFF2-40B4-BE49-F238E27FC236}">
              <a16:creationId xmlns:a16="http://schemas.microsoft.com/office/drawing/2014/main" id="{7C639A07-F9B1-42DC-BCC6-45A7DE63DA40}"/>
            </a:ext>
          </a:extLst>
        </xdr:cNvPr>
        <xdr:cNvCxnSpPr>
          <a:cxnSpLocks noChangeShapeType="1"/>
        </xdr:cNvCxnSpPr>
      </xdr:nvCxnSpPr>
      <xdr:spPr bwMode="auto">
        <a:xfrm>
          <a:off x="5570220" y="64922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34</xdr:row>
      <xdr:rowOff>137160</xdr:rowOff>
    </xdr:from>
    <xdr:to>
      <xdr:col>11</xdr:col>
      <xdr:colOff>365760</xdr:colOff>
      <xdr:row>34</xdr:row>
      <xdr:rowOff>137160</xdr:rowOff>
    </xdr:to>
    <xdr:cxnSp macro="">
      <xdr:nvCxnSpPr>
        <xdr:cNvPr id="68633" name="Straight Connector 172">
          <a:extLst>
            <a:ext uri="{FF2B5EF4-FFF2-40B4-BE49-F238E27FC236}">
              <a16:creationId xmlns:a16="http://schemas.microsoft.com/office/drawing/2014/main" id="{79D472B4-E928-4EA7-8064-93E7D08F19F0}"/>
            </a:ext>
          </a:extLst>
        </xdr:cNvPr>
        <xdr:cNvCxnSpPr>
          <a:cxnSpLocks noChangeShapeType="1"/>
        </xdr:cNvCxnSpPr>
      </xdr:nvCxnSpPr>
      <xdr:spPr bwMode="auto">
        <a:xfrm>
          <a:off x="5570220" y="58369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30</xdr:row>
      <xdr:rowOff>160020</xdr:rowOff>
    </xdr:from>
    <xdr:to>
      <xdr:col>11</xdr:col>
      <xdr:colOff>365760</xdr:colOff>
      <xdr:row>34</xdr:row>
      <xdr:rowOff>137160</xdr:rowOff>
    </xdr:to>
    <xdr:cxnSp macro="">
      <xdr:nvCxnSpPr>
        <xdr:cNvPr id="68634" name="Straight Connector 173">
          <a:extLst>
            <a:ext uri="{FF2B5EF4-FFF2-40B4-BE49-F238E27FC236}">
              <a16:creationId xmlns:a16="http://schemas.microsoft.com/office/drawing/2014/main" id="{26354F3F-162F-4406-BA91-CE46B1B055AC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51892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34</xdr:row>
      <xdr:rowOff>137160</xdr:rowOff>
    </xdr:from>
    <xdr:to>
      <xdr:col>11</xdr:col>
      <xdr:colOff>365760</xdr:colOff>
      <xdr:row>38</xdr:row>
      <xdr:rowOff>106680</xdr:rowOff>
    </xdr:to>
    <xdr:cxnSp macro="">
      <xdr:nvCxnSpPr>
        <xdr:cNvPr id="68635" name="Straight Connector 174">
          <a:extLst>
            <a:ext uri="{FF2B5EF4-FFF2-40B4-BE49-F238E27FC236}">
              <a16:creationId xmlns:a16="http://schemas.microsoft.com/office/drawing/2014/main" id="{9C74B1F8-6999-4DF3-8D19-86A581DEDB37}"/>
            </a:ext>
          </a:extLst>
        </xdr:cNvPr>
        <xdr:cNvCxnSpPr>
          <a:cxnSpLocks noChangeShapeType="1"/>
        </xdr:cNvCxnSpPr>
      </xdr:nvCxnSpPr>
      <xdr:spPr bwMode="auto">
        <a:xfrm>
          <a:off x="5570220" y="58369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30</xdr:row>
      <xdr:rowOff>144780</xdr:rowOff>
    </xdr:from>
    <xdr:to>
      <xdr:col>11</xdr:col>
      <xdr:colOff>365760</xdr:colOff>
      <xdr:row>30</xdr:row>
      <xdr:rowOff>144780</xdr:rowOff>
    </xdr:to>
    <xdr:cxnSp macro="">
      <xdr:nvCxnSpPr>
        <xdr:cNvPr id="68636" name="Straight Connector 175">
          <a:extLst>
            <a:ext uri="{FF2B5EF4-FFF2-40B4-BE49-F238E27FC236}">
              <a16:creationId xmlns:a16="http://schemas.microsoft.com/office/drawing/2014/main" id="{446CA0C9-CF97-469A-B815-F925E9E86A47}"/>
            </a:ext>
          </a:extLst>
        </xdr:cNvPr>
        <xdr:cNvCxnSpPr>
          <a:cxnSpLocks noChangeShapeType="1"/>
        </xdr:cNvCxnSpPr>
      </xdr:nvCxnSpPr>
      <xdr:spPr bwMode="auto">
        <a:xfrm>
          <a:off x="5570220" y="51739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27</xdr:row>
      <xdr:rowOff>7620</xdr:rowOff>
    </xdr:from>
    <xdr:to>
      <xdr:col>11</xdr:col>
      <xdr:colOff>365760</xdr:colOff>
      <xdr:row>30</xdr:row>
      <xdr:rowOff>144780</xdr:rowOff>
    </xdr:to>
    <xdr:cxnSp macro="">
      <xdr:nvCxnSpPr>
        <xdr:cNvPr id="68637" name="Straight Connector 176">
          <a:extLst>
            <a:ext uri="{FF2B5EF4-FFF2-40B4-BE49-F238E27FC236}">
              <a16:creationId xmlns:a16="http://schemas.microsoft.com/office/drawing/2014/main" id="{C12B6234-6D73-4004-AF1B-343A4C477C54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45339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30</xdr:row>
      <xdr:rowOff>144780</xdr:rowOff>
    </xdr:from>
    <xdr:to>
      <xdr:col>11</xdr:col>
      <xdr:colOff>365760</xdr:colOff>
      <xdr:row>34</xdr:row>
      <xdr:rowOff>121920</xdr:rowOff>
    </xdr:to>
    <xdr:cxnSp macro="">
      <xdr:nvCxnSpPr>
        <xdr:cNvPr id="68638" name="Straight Connector 177">
          <a:extLst>
            <a:ext uri="{FF2B5EF4-FFF2-40B4-BE49-F238E27FC236}">
              <a16:creationId xmlns:a16="http://schemas.microsoft.com/office/drawing/2014/main" id="{ADC4E10D-9A8C-4F90-AC43-3E4FFC6AAAC2}"/>
            </a:ext>
          </a:extLst>
        </xdr:cNvPr>
        <xdr:cNvCxnSpPr>
          <a:cxnSpLocks noChangeShapeType="1"/>
        </xdr:cNvCxnSpPr>
      </xdr:nvCxnSpPr>
      <xdr:spPr bwMode="auto">
        <a:xfrm>
          <a:off x="5570220" y="51739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26</xdr:row>
      <xdr:rowOff>160020</xdr:rowOff>
    </xdr:from>
    <xdr:to>
      <xdr:col>11</xdr:col>
      <xdr:colOff>365760</xdr:colOff>
      <xdr:row>26</xdr:row>
      <xdr:rowOff>160020</xdr:rowOff>
    </xdr:to>
    <xdr:cxnSp macro="">
      <xdr:nvCxnSpPr>
        <xdr:cNvPr id="68639" name="Straight Connector 178">
          <a:extLst>
            <a:ext uri="{FF2B5EF4-FFF2-40B4-BE49-F238E27FC236}">
              <a16:creationId xmlns:a16="http://schemas.microsoft.com/office/drawing/2014/main" id="{485B5CB0-6B0F-4941-AEFC-92B0FA5A24C8}"/>
            </a:ext>
          </a:extLst>
        </xdr:cNvPr>
        <xdr:cNvCxnSpPr>
          <a:cxnSpLocks noChangeShapeType="1"/>
        </xdr:cNvCxnSpPr>
      </xdr:nvCxnSpPr>
      <xdr:spPr bwMode="auto">
        <a:xfrm>
          <a:off x="5570220" y="45186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23</xdr:row>
      <xdr:rowOff>15240</xdr:rowOff>
    </xdr:from>
    <xdr:to>
      <xdr:col>11</xdr:col>
      <xdr:colOff>365760</xdr:colOff>
      <xdr:row>26</xdr:row>
      <xdr:rowOff>160020</xdr:rowOff>
    </xdr:to>
    <xdr:cxnSp macro="">
      <xdr:nvCxnSpPr>
        <xdr:cNvPr id="68640" name="Straight Connector 179">
          <a:extLst>
            <a:ext uri="{FF2B5EF4-FFF2-40B4-BE49-F238E27FC236}">
              <a16:creationId xmlns:a16="http://schemas.microsoft.com/office/drawing/2014/main" id="{07F0BBE5-38C5-48A6-909D-CBA06AB04489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38709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26</xdr:row>
      <xdr:rowOff>160020</xdr:rowOff>
    </xdr:from>
    <xdr:to>
      <xdr:col>11</xdr:col>
      <xdr:colOff>365760</xdr:colOff>
      <xdr:row>30</xdr:row>
      <xdr:rowOff>137160</xdr:rowOff>
    </xdr:to>
    <xdr:cxnSp macro="">
      <xdr:nvCxnSpPr>
        <xdr:cNvPr id="68641" name="Straight Connector 180">
          <a:extLst>
            <a:ext uri="{FF2B5EF4-FFF2-40B4-BE49-F238E27FC236}">
              <a16:creationId xmlns:a16="http://schemas.microsoft.com/office/drawing/2014/main" id="{A2E35F00-36FF-4170-A398-8BB5FBA65225}"/>
            </a:ext>
          </a:extLst>
        </xdr:cNvPr>
        <xdr:cNvCxnSpPr>
          <a:cxnSpLocks noChangeShapeType="1"/>
        </xdr:cNvCxnSpPr>
      </xdr:nvCxnSpPr>
      <xdr:spPr bwMode="auto">
        <a:xfrm>
          <a:off x="5570220" y="45186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23</xdr:row>
      <xdr:rowOff>7620</xdr:rowOff>
    </xdr:from>
    <xdr:to>
      <xdr:col>11</xdr:col>
      <xdr:colOff>365760</xdr:colOff>
      <xdr:row>23</xdr:row>
      <xdr:rowOff>7620</xdr:rowOff>
    </xdr:to>
    <xdr:cxnSp macro="">
      <xdr:nvCxnSpPr>
        <xdr:cNvPr id="68642" name="Straight Connector 181">
          <a:extLst>
            <a:ext uri="{FF2B5EF4-FFF2-40B4-BE49-F238E27FC236}">
              <a16:creationId xmlns:a16="http://schemas.microsoft.com/office/drawing/2014/main" id="{8CDF8419-F674-4967-80BA-828D95580B78}"/>
            </a:ext>
          </a:extLst>
        </xdr:cNvPr>
        <xdr:cNvCxnSpPr>
          <a:cxnSpLocks noChangeShapeType="1"/>
        </xdr:cNvCxnSpPr>
      </xdr:nvCxnSpPr>
      <xdr:spPr bwMode="auto">
        <a:xfrm>
          <a:off x="5570220" y="38633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19</xdr:row>
      <xdr:rowOff>30480</xdr:rowOff>
    </xdr:from>
    <xdr:to>
      <xdr:col>11</xdr:col>
      <xdr:colOff>365760</xdr:colOff>
      <xdr:row>23</xdr:row>
      <xdr:rowOff>7620</xdr:rowOff>
    </xdr:to>
    <xdr:cxnSp macro="">
      <xdr:nvCxnSpPr>
        <xdr:cNvPr id="68643" name="Straight Connector 182">
          <a:extLst>
            <a:ext uri="{FF2B5EF4-FFF2-40B4-BE49-F238E27FC236}">
              <a16:creationId xmlns:a16="http://schemas.microsoft.com/office/drawing/2014/main" id="{55428272-42A1-4F45-A75A-9ECD911DA094}"/>
            </a:ext>
          </a:extLst>
        </xdr:cNvPr>
        <xdr:cNvCxnSpPr>
          <a:cxnSpLocks noChangeShapeType="1"/>
        </xdr:cNvCxnSpPr>
      </xdr:nvCxnSpPr>
      <xdr:spPr bwMode="auto">
        <a:xfrm flipV="1">
          <a:off x="5570220" y="32156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579120</xdr:colOff>
      <xdr:row>23</xdr:row>
      <xdr:rowOff>7620</xdr:rowOff>
    </xdr:from>
    <xdr:to>
      <xdr:col>11</xdr:col>
      <xdr:colOff>365760</xdr:colOff>
      <xdr:row>26</xdr:row>
      <xdr:rowOff>144780</xdr:rowOff>
    </xdr:to>
    <xdr:cxnSp macro="">
      <xdr:nvCxnSpPr>
        <xdr:cNvPr id="68644" name="Straight Connector 183">
          <a:extLst>
            <a:ext uri="{FF2B5EF4-FFF2-40B4-BE49-F238E27FC236}">
              <a16:creationId xmlns:a16="http://schemas.microsoft.com/office/drawing/2014/main" id="{EBDD9402-9870-4C9A-AE4A-768D0743AE64}"/>
            </a:ext>
          </a:extLst>
        </xdr:cNvPr>
        <xdr:cNvCxnSpPr>
          <a:cxnSpLocks noChangeShapeType="1"/>
        </xdr:cNvCxnSpPr>
      </xdr:nvCxnSpPr>
      <xdr:spPr bwMode="auto">
        <a:xfrm>
          <a:off x="5570220" y="386334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66</xdr:row>
      <xdr:rowOff>30480</xdr:rowOff>
    </xdr:from>
    <xdr:to>
      <xdr:col>13</xdr:col>
      <xdr:colOff>358140</xdr:colOff>
      <xdr:row>66</xdr:row>
      <xdr:rowOff>30480</xdr:rowOff>
    </xdr:to>
    <xdr:cxnSp macro="">
      <xdr:nvCxnSpPr>
        <xdr:cNvPr id="68645" name="Straight Connector 184">
          <a:extLst>
            <a:ext uri="{FF2B5EF4-FFF2-40B4-BE49-F238E27FC236}">
              <a16:creationId xmlns:a16="http://schemas.microsoft.com/office/drawing/2014/main" id="{61A2456F-C41A-488E-BA0B-854A3F5414ED}"/>
            </a:ext>
          </a:extLst>
        </xdr:cNvPr>
        <xdr:cNvCxnSpPr>
          <a:cxnSpLocks noChangeShapeType="1"/>
        </xdr:cNvCxnSpPr>
      </xdr:nvCxnSpPr>
      <xdr:spPr bwMode="auto">
        <a:xfrm>
          <a:off x="6560820" y="110947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62</xdr:row>
      <xdr:rowOff>60960</xdr:rowOff>
    </xdr:from>
    <xdr:to>
      <xdr:col>13</xdr:col>
      <xdr:colOff>358140</xdr:colOff>
      <xdr:row>66</xdr:row>
      <xdr:rowOff>30480</xdr:rowOff>
    </xdr:to>
    <xdr:cxnSp macro="">
      <xdr:nvCxnSpPr>
        <xdr:cNvPr id="68646" name="Straight Connector 185">
          <a:extLst>
            <a:ext uri="{FF2B5EF4-FFF2-40B4-BE49-F238E27FC236}">
              <a16:creationId xmlns:a16="http://schemas.microsoft.com/office/drawing/2014/main" id="{3EE08332-0196-4648-B0B3-7F1312BBED32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1045464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66</xdr:row>
      <xdr:rowOff>30480</xdr:rowOff>
    </xdr:from>
    <xdr:to>
      <xdr:col>13</xdr:col>
      <xdr:colOff>358140</xdr:colOff>
      <xdr:row>70</xdr:row>
      <xdr:rowOff>7620</xdr:rowOff>
    </xdr:to>
    <xdr:cxnSp macro="">
      <xdr:nvCxnSpPr>
        <xdr:cNvPr id="68647" name="Straight Connector 186">
          <a:extLst>
            <a:ext uri="{FF2B5EF4-FFF2-40B4-BE49-F238E27FC236}">
              <a16:creationId xmlns:a16="http://schemas.microsoft.com/office/drawing/2014/main" id="{BB0C070A-0704-45F5-8380-1CD531AD7704}"/>
            </a:ext>
          </a:extLst>
        </xdr:cNvPr>
        <xdr:cNvCxnSpPr>
          <a:cxnSpLocks noChangeShapeType="1"/>
        </xdr:cNvCxnSpPr>
      </xdr:nvCxnSpPr>
      <xdr:spPr bwMode="auto">
        <a:xfrm>
          <a:off x="6560820" y="110947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62</xdr:row>
      <xdr:rowOff>45720</xdr:rowOff>
    </xdr:from>
    <xdr:to>
      <xdr:col>13</xdr:col>
      <xdr:colOff>358140</xdr:colOff>
      <xdr:row>62</xdr:row>
      <xdr:rowOff>45720</xdr:rowOff>
    </xdr:to>
    <xdr:cxnSp macro="">
      <xdr:nvCxnSpPr>
        <xdr:cNvPr id="68648" name="Straight Connector 187">
          <a:extLst>
            <a:ext uri="{FF2B5EF4-FFF2-40B4-BE49-F238E27FC236}">
              <a16:creationId xmlns:a16="http://schemas.microsoft.com/office/drawing/2014/main" id="{F5E3EC3C-5901-4BD0-A549-D920C1F66934}"/>
            </a:ext>
          </a:extLst>
        </xdr:cNvPr>
        <xdr:cNvCxnSpPr>
          <a:cxnSpLocks noChangeShapeType="1"/>
        </xdr:cNvCxnSpPr>
      </xdr:nvCxnSpPr>
      <xdr:spPr bwMode="auto">
        <a:xfrm>
          <a:off x="6560820" y="104394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58</xdr:row>
      <xdr:rowOff>68580</xdr:rowOff>
    </xdr:from>
    <xdr:to>
      <xdr:col>13</xdr:col>
      <xdr:colOff>358140</xdr:colOff>
      <xdr:row>62</xdr:row>
      <xdr:rowOff>45720</xdr:rowOff>
    </xdr:to>
    <xdr:cxnSp macro="">
      <xdr:nvCxnSpPr>
        <xdr:cNvPr id="68649" name="Straight Connector 188">
          <a:extLst>
            <a:ext uri="{FF2B5EF4-FFF2-40B4-BE49-F238E27FC236}">
              <a16:creationId xmlns:a16="http://schemas.microsoft.com/office/drawing/2014/main" id="{D688EA4B-38F0-48C9-8BB1-571CF17562F6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97917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62</xdr:row>
      <xdr:rowOff>45720</xdr:rowOff>
    </xdr:from>
    <xdr:to>
      <xdr:col>13</xdr:col>
      <xdr:colOff>358140</xdr:colOff>
      <xdr:row>66</xdr:row>
      <xdr:rowOff>15240</xdr:rowOff>
    </xdr:to>
    <xdr:cxnSp macro="">
      <xdr:nvCxnSpPr>
        <xdr:cNvPr id="68650" name="Straight Connector 189">
          <a:extLst>
            <a:ext uri="{FF2B5EF4-FFF2-40B4-BE49-F238E27FC236}">
              <a16:creationId xmlns:a16="http://schemas.microsoft.com/office/drawing/2014/main" id="{DCBB5ACE-A72C-4C37-B0CB-ACB4C06FD1A8}"/>
            </a:ext>
          </a:extLst>
        </xdr:cNvPr>
        <xdr:cNvCxnSpPr>
          <a:cxnSpLocks noChangeShapeType="1"/>
        </xdr:cNvCxnSpPr>
      </xdr:nvCxnSpPr>
      <xdr:spPr bwMode="auto">
        <a:xfrm>
          <a:off x="6560820" y="104394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58</xdr:row>
      <xdr:rowOff>60960</xdr:rowOff>
    </xdr:from>
    <xdr:to>
      <xdr:col>13</xdr:col>
      <xdr:colOff>358140</xdr:colOff>
      <xdr:row>58</xdr:row>
      <xdr:rowOff>60960</xdr:rowOff>
    </xdr:to>
    <xdr:cxnSp macro="">
      <xdr:nvCxnSpPr>
        <xdr:cNvPr id="68651" name="Straight Connector 190">
          <a:extLst>
            <a:ext uri="{FF2B5EF4-FFF2-40B4-BE49-F238E27FC236}">
              <a16:creationId xmlns:a16="http://schemas.microsoft.com/office/drawing/2014/main" id="{E6AF91D0-B32A-4D37-98A6-89CF0B13147E}"/>
            </a:ext>
          </a:extLst>
        </xdr:cNvPr>
        <xdr:cNvCxnSpPr>
          <a:cxnSpLocks noChangeShapeType="1"/>
        </xdr:cNvCxnSpPr>
      </xdr:nvCxnSpPr>
      <xdr:spPr bwMode="auto">
        <a:xfrm>
          <a:off x="6560820" y="97840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54</xdr:row>
      <xdr:rowOff>83820</xdr:rowOff>
    </xdr:from>
    <xdr:to>
      <xdr:col>13</xdr:col>
      <xdr:colOff>358140</xdr:colOff>
      <xdr:row>58</xdr:row>
      <xdr:rowOff>60960</xdr:rowOff>
    </xdr:to>
    <xdr:cxnSp macro="">
      <xdr:nvCxnSpPr>
        <xdr:cNvPr id="68652" name="Straight Connector 191">
          <a:extLst>
            <a:ext uri="{FF2B5EF4-FFF2-40B4-BE49-F238E27FC236}">
              <a16:creationId xmlns:a16="http://schemas.microsoft.com/office/drawing/2014/main" id="{39DC7539-96FB-4891-AC23-3A58178F60D5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91363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58</xdr:row>
      <xdr:rowOff>60960</xdr:rowOff>
    </xdr:from>
    <xdr:to>
      <xdr:col>13</xdr:col>
      <xdr:colOff>358140</xdr:colOff>
      <xdr:row>62</xdr:row>
      <xdr:rowOff>30480</xdr:rowOff>
    </xdr:to>
    <xdr:cxnSp macro="">
      <xdr:nvCxnSpPr>
        <xdr:cNvPr id="68653" name="Straight Connector 192">
          <a:extLst>
            <a:ext uri="{FF2B5EF4-FFF2-40B4-BE49-F238E27FC236}">
              <a16:creationId xmlns:a16="http://schemas.microsoft.com/office/drawing/2014/main" id="{6957A061-5097-4006-9968-575547885EE4}"/>
            </a:ext>
          </a:extLst>
        </xdr:cNvPr>
        <xdr:cNvCxnSpPr>
          <a:cxnSpLocks noChangeShapeType="1"/>
        </xdr:cNvCxnSpPr>
      </xdr:nvCxnSpPr>
      <xdr:spPr bwMode="auto">
        <a:xfrm>
          <a:off x="6560820" y="97840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54</xdr:row>
      <xdr:rowOff>68580</xdr:rowOff>
    </xdr:from>
    <xdr:to>
      <xdr:col>13</xdr:col>
      <xdr:colOff>358140</xdr:colOff>
      <xdr:row>54</xdr:row>
      <xdr:rowOff>68580</xdr:rowOff>
    </xdr:to>
    <xdr:cxnSp macro="">
      <xdr:nvCxnSpPr>
        <xdr:cNvPr id="68654" name="Straight Connector 193">
          <a:extLst>
            <a:ext uri="{FF2B5EF4-FFF2-40B4-BE49-F238E27FC236}">
              <a16:creationId xmlns:a16="http://schemas.microsoft.com/office/drawing/2014/main" id="{03A794D9-B7C8-40DD-BE2F-0ABFDFEA1522}"/>
            </a:ext>
          </a:extLst>
        </xdr:cNvPr>
        <xdr:cNvCxnSpPr>
          <a:cxnSpLocks noChangeShapeType="1"/>
        </xdr:cNvCxnSpPr>
      </xdr:nvCxnSpPr>
      <xdr:spPr bwMode="auto">
        <a:xfrm>
          <a:off x="6560820" y="91211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50</xdr:row>
      <xdr:rowOff>99060</xdr:rowOff>
    </xdr:from>
    <xdr:to>
      <xdr:col>13</xdr:col>
      <xdr:colOff>358140</xdr:colOff>
      <xdr:row>54</xdr:row>
      <xdr:rowOff>68580</xdr:rowOff>
    </xdr:to>
    <xdr:cxnSp macro="">
      <xdr:nvCxnSpPr>
        <xdr:cNvPr id="68655" name="Straight Connector 194">
          <a:extLst>
            <a:ext uri="{FF2B5EF4-FFF2-40B4-BE49-F238E27FC236}">
              <a16:creationId xmlns:a16="http://schemas.microsoft.com/office/drawing/2014/main" id="{141EA795-26A3-4096-8EB2-5C999E508929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84810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54</xdr:row>
      <xdr:rowOff>68580</xdr:rowOff>
    </xdr:from>
    <xdr:to>
      <xdr:col>13</xdr:col>
      <xdr:colOff>358140</xdr:colOff>
      <xdr:row>58</xdr:row>
      <xdr:rowOff>45720</xdr:rowOff>
    </xdr:to>
    <xdr:cxnSp macro="">
      <xdr:nvCxnSpPr>
        <xdr:cNvPr id="68656" name="Straight Connector 195">
          <a:extLst>
            <a:ext uri="{FF2B5EF4-FFF2-40B4-BE49-F238E27FC236}">
              <a16:creationId xmlns:a16="http://schemas.microsoft.com/office/drawing/2014/main" id="{1ABAB99D-C680-4AE4-957D-DDF46EE8C019}"/>
            </a:ext>
          </a:extLst>
        </xdr:cNvPr>
        <xdr:cNvCxnSpPr>
          <a:cxnSpLocks noChangeShapeType="1"/>
        </xdr:cNvCxnSpPr>
      </xdr:nvCxnSpPr>
      <xdr:spPr bwMode="auto">
        <a:xfrm>
          <a:off x="6560820" y="91211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50</xdr:row>
      <xdr:rowOff>83820</xdr:rowOff>
    </xdr:from>
    <xdr:to>
      <xdr:col>13</xdr:col>
      <xdr:colOff>358140</xdr:colOff>
      <xdr:row>50</xdr:row>
      <xdr:rowOff>83820</xdr:rowOff>
    </xdr:to>
    <xdr:cxnSp macro="">
      <xdr:nvCxnSpPr>
        <xdr:cNvPr id="68657" name="Straight Connector 196">
          <a:extLst>
            <a:ext uri="{FF2B5EF4-FFF2-40B4-BE49-F238E27FC236}">
              <a16:creationId xmlns:a16="http://schemas.microsoft.com/office/drawing/2014/main" id="{738F9F22-1BA2-4EF2-A3D2-1BAB34AEDE50}"/>
            </a:ext>
          </a:extLst>
        </xdr:cNvPr>
        <xdr:cNvCxnSpPr>
          <a:cxnSpLocks noChangeShapeType="1"/>
        </xdr:cNvCxnSpPr>
      </xdr:nvCxnSpPr>
      <xdr:spPr bwMode="auto">
        <a:xfrm>
          <a:off x="6560820" y="84658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46</xdr:row>
      <xdr:rowOff>106680</xdr:rowOff>
    </xdr:from>
    <xdr:to>
      <xdr:col>13</xdr:col>
      <xdr:colOff>358140</xdr:colOff>
      <xdr:row>50</xdr:row>
      <xdr:rowOff>83820</xdr:rowOff>
    </xdr:to>
    <xdr:cxnSp macro="">
      <xdr:nvCxnSpPr>
        <xdr:cNvPr id="68658" name="Straight Connector 197">
          <a:extLst>
            <a:ext uri="{FF2B5EF4-FFF2-40B4-BE49-F238E27FC236}">
              <a16:creationId xmlns:a16="http://schemas.microsoft.com/office/drawing/2014/main" id="{3D027B8D-5A7A-4ABA-B577-2714415E24A9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78181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50</xdr:row>
      <xdr:rowOff>83820</xdr:rowOff>
    </xdr:from>
    <xdr:to>
      <xdr:col>13</xdr:col>
      <xdr:colOff>358140</xdr:colOff>
      <xdr:row>54</xdr:row>
      <xdr:rowOff>60960</xdr:rowOff>
    </xdr:to>
    <xdr:cxnSp macro="">
      <xdr:nvCxnSpPr>
        <xdr:cNvPr id="68659" name="Straight Connector 198">
          <a:extLst>
            <a:ext uri="{FF2B5EF4-FFF2-40B4-BE49-F238E27FC236}">
              <a16:creationId xmlns:a16="http://schemas.microsoft.com/office/drawing/2014/main" id="{6C03ADFA-8395-4E54-A03C-AB0DE2B43268}"/>
            </a:ext>
          </a:extLst>
        </xdr:cNvPr>
        <xdr:cNvCxnSpPr>
          <a:cxnSpLocks noChangeShapeType="1"/>
        </xdr:cNvCxnSpPr>
      </xdr:nvCxnSpPr>
      <xdr:spPr bwMode="auto">
        <a:xfrm>
          <a:off x="6560820" y="84658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46</xdr:row>
      <xdr:rowOff>99060</xdr:rowOff>
    </xdr:from>
    <xdr:to>
      <xdr:col>13</xdr:col>
      <xdr:colOff>358140</xdr:colOff>
      <xdr:row>46</xdr:row>
      <xdr:rowOff>99060</xdr:rowOff>
    </xdr:to>
    <xdr:cxnSp macro="">
      <xdr:nvCxnSpPr>
        <xdr:cNvPr id="68660" name="Straight Connector 199">
          <a:extLst>
            <a:ext uri="{FF2B5EF4-FFF2-40B4-BE49-F238E27FC236}">
              <a16:creationId xmlns:a16="http://schemas.microsoft.com/office/drawing/2014/main" id="{B3D8DAC5-33C7-420D-943D-1EBCE2A041E0}"/>
            </a:ext>
          </a:extLst>
        </xdr:cNvPr>
        <xdr:cNvCxnSpPr>
          <a:cxnSpLocks noChangeShapeType="1"/>
        </xdr:cNvCxnSpPr>
      </xdr:nvCxnSpPr>
      <xdr:spPr bwMode="auto">
        <a:xfrm>
          <a:off x="6560820" y="78105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42</xdr:row>
      <xdr:rowOff>121920</xdr:rowOff>
    </xdr:from>
    <xdr:to>
      <xdr:col>13</xdr:col>
      <xdr:colOff>358140</xdr:colOff>
      <xdr:row>46</xdr:row>
      <xdr:rowOff>99060</xdr:rowOff>
    </xdr:to>
    <xdr:cxnSp macro="">
      <xdr:nvCxnSpPr>
        <xdr:cNvPr id="68661" name="Straight Connector 200">
          <a:extLst>
            <a:ext uri="{FF2B5EF4-FFF2-40B4-BE49-F238E27FC236}">
              <a16:creationId xmlns:a16="http://schemas.microsoft.com/office/drawing/2014/main" id="{A7201137-E53F-4692-A298-FC21D29A3DD6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71628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46</xdr:row>
      <xdr:rowOff>99060</xdr:rowOff>
    </xdr:from>
    <xdr:to>
      <xdr:col>13</xdr:col>
      <xdr:colOff>358140</xdr:colOff>
      <xdr:row>50</xdr:row>
      <xdr:rowOff>68580</xdr:rowOff>
    </xdr:to>
    <xdr:cxnSp macro="">
      <xdr:nvCxnSpPr>
        <xdr:cNvPr id="68662" name="Straight Connector 201">
          <a:extLst>
            <a:ext uri="{FF2B5EF4-FFF2-40B4-BE49-F238E27FC236}">
              <a16:creationId xmlns:a16="http://schemas.microsoft.com/office/drawing/2014/main" id="{D97E7F69-A84F-4049-B281-49883D58E1FD}"/>
            </a:ext>
          </a:extLst>
        </xdr:cNvPr>
        <xdr:cNvCxnSpPr>
          <a:cxnSpLocks noChangeShapeType="1"/>
        </xdr:cNvCxnSpPr>
      </xdr:nvCxnSpPr>
      <xdr:spPr bwMode="auto">
        <a:xfrm>
          <a:off x="6560820" y="78105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42</xdr:row>
      <xdr:rowOff>106680</xdr:rowOff>
    </xdr:from>
    <xdr:to>
      <xdr:col>13</xdr:col>
      <xdr:colOff>358140</xdr:colOff>
      <xdr:row>42</xdr:row>
      <xdr:rowOff>106680</xdr:rowOff>
    </xdr:to>
    <xdr:cxnSp macro="">
      <xdr:nvCxnSpPr>
        <xdr:cNvPr id="68663" name="Straight Connector 202">
          <a:extLst>
            <a:ext uri="{FF2B5EF4-FFF2-40B4-BE49-F238E27FC236}">
              <a16:creationId xmlns:a16="http://schemas.microsoft.com/office/drawing/2014/main" id="{4C2FE4B8-0264-4A97-B3A7-5AC2782E4A6A}"/>
            </a:ext>
          </a:extLst>
        </xdr:cNvPr>
        <xdr:cNvCxnSpPr>
          <a:cxnSpLocks noChangeShapeType="1"/>
        </xdr:cNvCxnSpPr>
      </xdr:nvCxnSpPr>
      <xdr:spPr bwMode="auto">
        <a:xfrm>
          <a:off x="656082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38</xdr:row>
      <xdr:rowOff>137160</xdr:rowOff>
    </xdr:from>
    <xdr:to>
      <xdr:col>13</xdr:col>
      <xdr:colOff>358140</xdr:colOff>
      <xdr:row>42</xdr:row>
      <xdr:rowOff>106680</xdr:rowOff>
    </xdr:to>
    <xdr:cxnSp macro="">
      <xdr:nvCxnSpPr>
        <xdr:cNvPr id="68664" name="Straight Connector 203">
          <a:extLst>
            <a:ext uri="{FF2B5EF4-FFF2-40B4-BE49-F238E27FC236}">
              <a16:creationId xmlns:a16="http://schemas.microsoft.com/office/drawing/2014/main" id="{81DEDDD1-6FCE-4DCC-A6F4-1F7D3A78E69A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42</xdr:row>
      <xdr:rowOff>106680</xdr:rowOff>
    </xdr:from>
    <xdr:to>
      <xdr:col>13</xdr:col>
      <xdr:colOff>358140</xdr:colOff>
      <xdr:row>46</xdr:row>
      <xdr:rowOff>83820</xdr:rowOff>
    </xdr:to>
    <xdr:cxnSp macro="">
      <xdr:nvCxnSpPr>
        <xdr:cNvPr id="68665" name="Straight Connector 204">
          <a:extLst>
            <a:ext uri="{FF2B5EF4-FFF2-40B4-BE49-F238E27FC236}">
              <a16:creationId xmlns:a16="http://schemas.microsoft.com/office/drawing/2014/main" id="{01A3FD60-CEE1-4C07-81EE-FF3A31956F8C}"/>
            </a:ext>
          </a:extLst>
        </xdr:cNvPr>
        <xdr:cNvCxnSpPr>
          <a:cxnSpLocks noChangeShapeType="1"/>
        </xdr:cNvCxnSpPr>
      </xdr:nvCxnSpPr>
      <xdr:spPr bwMode="auto">
        <a:xfrm>
          <a:off x="656082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38</xdr:row>
      <xdr:rowOff>121920</xdr:rowOff>
    </xdr:from>
    <xdr:to>
      <xdr:col>13</xdr:col>
      <xdr:colOff>358140</xdr:colOff>
      <xdr:row>38</xdr:row>
      <xdr:rowOff>121920</xdr:rowOff>
    </xdr:to>
    <xdr:cxnSp macro="">
      <xdr:nvCxnSpPr>
        <xdr:cNvPr id="68666" name="Straight Connector 205">
          <a:extLst>
            <a:ext uri="{FF2B5EF4-FFF2-40B4-BE49-F238E27FC236}">
              <a16:creationId xmlns:a16="http://schemas.microsoft.com/office/drawing/2014/main" id="{4A84F140-08C0-4147-98CF-4EA6817D2307}"/>
            </a:ext>
          </a:extLst>
        </xdr:cNvPr>
        <xdr:cNvCxnSpPr>
          <a:cxnSpLocks noChangeShapeType="1"/>
        </xdr:cNvCxnSpPr>
      </xdr:nvCxnSpPr>
      <xdr:spPr bwMode="auto">
        <a:xfrm>
          <a:off x="6560820" y="64922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34</xdr:row>
      <xdr:rowOff>144780</xdr:rowOff>
    </xdr:from>
    <xdr:to>
      <xdr:col>13</xdr:col>
      <xdr:colOff>358140</xdr:colOff>
      <xdr:row>38</xdr:row>
      <xdr:rowOff>121920</xdr:rowOff>
    </xdr:to>
    <xdr:cxnSp macro="">
      <xdr:nvCxnSpPr>
        <xdr:cNvPr id="68667" name="Straight Connector 206">
          <a:extLst>
            <a:ext uri="{FF2B5EF4-FFF2-40B4-BE49-F238E27FC236}">
              <a16:creationId xmlns:a16="http://schemas.microsoft.com/office/drawing/2014/main" id="{DB3E5D92-6217-4B51-867A-AF689DF04446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58445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38</xdr:row>
      <xdr:rowOff>121920</xdr:rowOff>
    </xdr:from>
    <xdr:to>
      <xdr:col>13</xdr:col>
      <xdr:colOff>358140</xdr:colOff>
      <xdr:row>42</xdr:row>
      <xdr:rowOff>99060</xdr:rowOff>
    </xdr:to>
    <xdr:cxnSp macro="">
      <xdr:nvCxnSpPr>
        <xdr:cNvPr id="68668" name="Straight Connector 207">
          <a:extLst>
            <a:ext uri="{FF2B5EF4-FFF2-40B4-BE49-F238E27FC236}">
              <a16:creationId xmlns:a16="http://schemas.microsoft.com/office/drawing/2014/main" id="{A0FC5761-D8F1-48DB-B52B-4CC19C3B8F25}"/>
            </a:ext>
          </a:extLst>
        </xdr:cNvPr>
        <xdr:cNvCxnSpPr>
          <a:cxnSpLocks noChangeShapeType="1"/>
        </xdr:cNvCxnSpPr>
      </xdr:nvCxnSpPr>
      <xdr:spPr bwMode="auto">
        <a:xfrm>
          <a:off x="6560820" y="64922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34</xdr:row>
      <xdr:rowOff>137160</xdr:rowOff>
    </xdr:from>
    <xdr:to>
      <xdr:col>13</xdr:col>
      <xdr:colOff>358140</xdr:colOff>
      <xdr:row>34</xdr:row>
      <xdr:rowOff>137160</xdr:rowOff>
    </xdr:to>
    <xdr:cxnSp macro="">
      <xdr:nvCxnSpPr>
        <xdr:cNvPr id="68669" name="Straight Connector 208">
          <a:extLst>
            <a:ext uri="{FF2B5EF4-FFF2-40B4-BE49-F238E27FC236}">
              <a16:creationId xmlns:a16="http://schemas.microsoft.com/office/drawing/2014/main" id="{9DD0762A-B17D-40AD-AD58-463E998D5B1E}"/>
            </a:ext>
          </a:extLst>
        </xdr:cNvPr>
        <xdr:cNvCxnSpPr>
          <a:cxnSpLocks noChangeShapeType="1"/>
        </xdr:cNvCxnSpPr>
      </xdr:nvCxnSpPr>
      <xdr:spPr bwMode="auto">
        <a:xfrm>
          <a:off x="6560820" y="58369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30</xdr:row>
      <xdr:rowOff>160020</xdr:rowOff>
    </xdr:from>
    <xdr:to>
      <xdr:col>13</xdr:col>
      <xdr:colOff>358140</xdr:colOff>
      <xdr:row>34</xdr:row>
      <xdr:rowOff>137160</xdr:rowOff>
    </xdr:to>
    <xdr:cxnSp macro="">
      <xdr:nvCxnSpPr>
        <xdr:cNvPr id="68670" name="Straight Connector 209">
          <a:extLst>
            <a:ext uri="{FF2B5EF4-FFF2-40B4-BE49-F238E27FC236}">
              <a16:creationId xmlns:a16="http://schemas.microsoft.com/office/drawing/2014/main" id="{3507CE38-5DF4-45E3-8B47-85E497935D31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51892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34</xdr:row>
      <xdr:rowOff>137160</xdr:rowOff>
    </xdr:from>
    <xdr:to>
      <xdr:col>13</xdr:col>
      <xdr:colOff>358140</xdr:colOff>
      <xdr:row>38</xdr:row>
      <xdr:rowOff>106680</xdr:rowOff>
    </xdr:to>
    <xdr:cxnSp macro="">
      <xdr:nvCxnSpPr>
        <xdr:cNvPr id="68671" name="Straight Connector 210">
          <a:extLst>
            <a:ext uri="{FF2B5EF4-FFF2-40B4-BE49-F238E27FC236}">
              <a16:creationId xmlns:a16="http://schemas.microsoft.com/office/drawing/2014/main" id="{9383ACC5-8DB5-4D0B-B2A6-50360149A638}"/>
            </a:ext>
          </a:extLst>
        </xdr:cNvPr>
        <xdr:cNvCxnSpPr>
          <a:cxnSpLocks noChangeShapeType="1"/>
        </xdr:cNvCxnSpPr>
      </xdr:nvCxnSpPr>
      <xdr:spPr bwMode="auto">
        <a:xfrm>
          <a:off x="6560820" y="58369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30</xdr:row>
      <xdr:rowOff>144780</xdr:rowOff>
    </xdr:from>
    <xdr:to>
      <xdr:col>13</xdr:col>
      <xdr:colOff>358140</xdr:colOff>
      <xdr:row>30</xdr:row>
      <xdr:rowOff>144780</xdr:rowOff>
    </xdr:to>
    <xdr:cxnSp macro="">
      <xdr:nvCxnSpPr>
        <xdr:cNvPr id="68672" name="Straight Connector 211">
          <a:extLst>
            <a:ext uri="{FF2B5EF4-FFF2-40B4-BE49-F238E27FC236}">
              <a16:creationId xmlns:a16="http://schemas.microsoft.com/office/drawing/2014/main" id="{2BCE900B-762C-4226-98B9-F6C313389EAA}"/>
            </a:ext>
          </a:extLst>
        </xdr:cNvPr>
        <xdr:cNvCxnSpPr>
          <a:cxnSpLocks noChangeShapeType="1"/>
        </xdr:cNvCxnSpPr>
      </xdr:nvCxnSpPr>
      <xdr:spPr bwMode="auto">
        <a:xfrm>
          <a:off x="6560820" y="51739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27</xdr:row>
      <xdr:rowOff>7620</xdr:rowOff>
    </xdr:from>
    <xdr:to>
      <xdr:col>13</xdr:col>
      <xdr:colOff>358140</xdr:colOff>
      <xdr:row>30</xdr:row>
      <xdr:rowOff>144780</xdr:rowOff>
    </xdr:to>
    <xdr:cxnSp macro="">
      <xdr:nvCxnSpPr>
        <xdr:cNvPr id="68673" name="Straight Connector 212">
          <a:extLst>
            <a:ext uri="{FF2B5EF4-FFF2-40B4-BE49-F238E27FC236}">
              <a16:creationId xmlns:a16="http://schemas.microsoft.com/office/drawing/2014/main" id="{940EA400-4B34-4D5F-BD84-F223BABC612F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45339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30</xdr:row>
      <xdr:rowOff>144780</xdr:rowOff>
    </xdr:from>
    <xdr:to>
      <xdr:col>13</xdr:col>
      <xdr:colOff>358140</xdr:colOff>
      <xdr:row>34</xdr:row>
      <xdr:rowOff>121920</xdr:rowOff>
    </xdr:to>
    <xdr:cxnSp macro="">
      <xdr:nvCxnSpPr>
        <xdr:cNvPr id="68674" name="Straight Connector 213">
          <a:extLst>
            <a:ext uri="{FF2B5EF4-FFF2-40B4-BE49-F238E27FC236}">
              <a16:creationId xmlns:a16="http://schemas.microsoft.com/office/drawing/2014/main" id="{CDC3A5F8-B9DE-4F8E-9094-2DC6C180BAE7}"/>
            </a:ext>
          </a:extLst>
        </xdr:cNvPr>
        <xdr:cNvCxnSpPr>
          <a:cxnSpLocks noChangeShapeType="1"/>
        </xdr:cNvCxnSpPr>
      </xdr:nvCxnSpPr>
      <xdr:spPr bwMode="auto">
        <a:xfrm>
          <a:off x="6560820" y="51739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26</xdr:row>
      <xdr:rowOff>160020</xdr:rowOff>
    </xdr:from>
    <xdr:to>
      <xdr:col>13</xdr:col>
      <xdr:colOff>358140</xdr:colOff>
      <xdr:row>26</xdr:row>
      <xdr:rowOff>160020</xdr:rowOff>
    </xdr:to>
    <xdr:cxnSp macro="">
      <xdr:nvCxnSpPr>
        <xdr:cNvPr id="68675" name="Straight Connector 214">
          <a:extLst>
            <a:ext uri="{FF2B5EF4-FFF2-40B4-BE49-F238E27FC236}">
              <a16:creationId xmlns:a16="http://schemas.microsoft.com/office/drawing/2014/main" id="{393A0559-9D1C-4A41-BE72-BE3D792A3DC9}"/>
            </a:ext>
          </a:extLst>
        </xdr:cNvPr>
        <xdr:cNvCxnSpPr>
          <a:cxnSpLocks noChangeShapeType="1"/>
        </xdr:cNvCxnSpPr>
      </xdr:nvCxnSpPr>
      <xdr:spPr bwMode="auto">
        <a:xfrm>
          <a:off x="6560820" y="45186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23</xdr:row>
      <xdr:rowOff>15240</xdr:rowOff>
    </xdr:from>
    <xdr:to>
      <xdr:col>13</xdr:col>
      <xdr:colOff>358140</xdr:colOff>
      <xdr:row>26</xdr:row>
      <xdr:rowOff>160020</xdr:rowOff>
    </xdr:to>
    <xdr:cxnSp macro="">
      <xdr:nvCxnSpPr>
        <xdr:cNvPr id="68676" name="Straight Connector 215">
          <a:extLst>
            <a:ext uri="{FF2B5EF4-FFF2-40B4-BE49-F238E27FC236}">
              <a16:creationId xmlns:a16="http://schemas.microsoft.com/office/drawing/2014/main" id="{D8085506-5AD1-4F59-A6B3-CCF6C02AEEFE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38709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26</xdr:row>
      <xdr:rowOff>160020</xdr:rowOff>
    </xdr:from>
    <xdr:to>
      <xdr:col>13</xdr:col>
      <xdr:colOff>358140</xdr:colOff>
      <xdr:row>30</xdr:row>
      <xdr:rowOff>137160</xdr:rowOff>
    </xdr:to>
    <xdr:cxnSp macro="">
      <xdr:nvCxnSpPr>
        <xdr:cNvPr id="68677" name="Straight Connector 216">
          <a:extLst>
            <a:ext uri="{FF2B5EF4-FFF2-40B4-BE49-F238E27FC236}">
              <a16:creationId xmlns:a16="http://schemas.microsoft.com/office/drawing/2014/main" id="{ACE00896-B908-45B6-82EF-07C2FB00CCEE}"/>
            </a:ext>
          </a:extLst>
        </xdr:cNvPr>
        <xdr:cNvCxnSpPr>
          <a:cxnSpLocks noChangeShapeType="1"/>
        </xdr:cNvCxnSpPr>
      </xdr:nvCxnSpPr>
      <xdr:spPr bwMode="auto">
        <a:xfrm>
          <a:off x="6560820" y="45186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23</xdr:row>
      <xdr:rowOff>7620</xdr:rowOff>
    </xdr:from>
    <xdr:to>
      <xdr:col>13</xdr:col>
      <xdr:colOff>358140</xdr:colOff>
      <xdr:row>23</xdr:row>
      <xdr:rowOff>7620</xdr:rowOff>
    </xdr:to>
    <xdr:cxnSp macro="">
      <xdr:nvCxnSpPr>
        <xdr:cNvPr id="68678" name="Straight Connector 217">
          <a:extLst>
            <a:ext uri="{FF2B5EF4-FFF2-40B4-BE49-F238E27FC236}">
              <a16:creationId xmlns:a16="http://schemas.microsoft.com/office/drawing/2014/main" id="{1A809A44-B163-4626-8182-F1BEC6EC070D}"/>
            </a:ext>
          </a:extLst>
        </xdr:cNvPr>
        <xdr:cNvCxnSpPr>
          <a:cxnSpLocks noChangeShapeType="1"/>
        </xdr:cNvCxnSpPr>
      </xdr:nvCxnSpPr>
      <xdr:spPr bwMode="auto">
        <a:xfrm>
          <a:off x="6560820" y="38633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19</xdr:row>
      <xdr:rowOff>30480</xdr:rowOff>
    </xdr:from>
    <xdr:to>
      <xdr:col>13</xdr:col>
      <xdr:colOff>358140</xdr:colOff>
      <xdr:row>23</xdr:row>
      <xdr:rowOff>7620</xdr:rowOff>
    </xdr:to>
    <xdr:cxnSp macro="">
      <xdr:nvCxnSpPr>
        <xdr:cNvPr id="68679" name="Straight Connector 218">
          <a:extLst>
            <a:ext uri="{FF2B5EF4-FFF2-40B4-BE49-F238E27FC236}">
              <a16:creationId xmlns:a16="http://schemas.microsoft.com/office/drawing/2014/main" id="{8EF288FA-3E6A-4ABB-9265-9BEDE33F57CE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32156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23</xdr:row>
      <xdr:rowOff>7620</xdr:rowOff>
    </xdr:from>
    <xdr:to>
      <xdr:col>13</xdr:col>
      <xdr:colOff>358140</xdr:colOff>
      <xdr:row>26</xdr:row>
      <xdr:rowOff>144780</xdr:rowOff>
    </xdr:to>
    <xdr:cxnSp macro="">
      <xdr:nvCxnSpPr>
        <xdr:cNvPr id="68680" name="Straight Connector 219">
          <a:extLst>
            <a:ext uri="{FF2B5EF4-FFF2-40B4-BE49-F238E27FC236}">
              <a16:creationId xmlns:a16="http://schemas.microsoft.com/office/drawing/2014/main" id="{09944F75-0384-4407-A9A1-F6CEB35CCF0F}"/>
            </a:ext>
          </a:extLst>
        </xdr:cNvPr>
        <xdr:cNvCxnSpPr>
          <a:cxnSpLocks noChangeShapeType="1"/>
        </xdr:cNvCxnSpPr>
      </xdr:nvCxnSpPr>
      <xdr:spPr bwMode="auto">
        <a:xfrm>
          <a:off x="6560820" y="386334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19</xdr:row>
      <xdr:rowOff>15240</xdr:rowOff>
    </xdr:from>
    <xdr:to>
      <xdr:col>13</xdr:col>
      <xdr:colOff>358140</xdr:colOff>
      <xdr:row>19</xdr:row>
      <xdr:rowOff>15240</xdr:rowOff>
    </xdr:to>
    <xdr:cxnSp macro="">
      <xdr:nvCxnSpPr>
        <xdr:cNvPr id="68681" name="Straight Connector 220">
          <a:extLst>
            <a:ext uri="{FF2B5EF4-FFF2-40B4-BE49-F238E27FC236}">
              <a16:creationId xmlns:a16="http://schemas.microsoft.com/office/drawing/2014/main" id="{902E08AF-1CCE-419C-9175-B16E6DC62B1F}"/>
            </a:ext>
          </a:extLst>
        </xdr:cNvPr>
        <xdr:cNvCxnSpPr>
          <a:cxnSpLocks noChangeShapeType="1"/>
        </xdr:cNvCxnSpPr>
      </xdr:nvCxnSpPr>
      <xdr:spPr bwMode="auto">
        <a:xfrm>
          <a:off x="6560820" y="32004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15</xdr:row>
      <xdr:rowOff>45720</xdr:rowOff>
    </xdr:from>
    <xdr:to>
      <xdr:col>13</xdr:col>
      <xdr:colOff>358140</xdr:colOff>
      <xdr:row>19</xdr:row>
      <xdr:rowOff>15240</xdr:rowOff>
    </xdr:to>
    <xdr:cxnSp macro="">
      <xdr:nvCxnSpPr>
        <xdr:cNvPr id="68682" name="Straight Connector 221">
          <a:extLst>
            <a:ext uri="{FF2B5EF4-FFF2-40B4-BE49-F238E27FC236}">
              <a16:creationId xmlns:a16="http://schemas.microsoft.com/office/drawing/2014/main" id="{3F100B5B-AF27-4C86-8FF4-075CE01B0F3D}"/>
            </a:ext>
          </a:extLst>
        </xdr:cNvPr>
        <xdr:cNvCxnSpPr>
          <a:cxnSpLocks noChangeShapeType="1"/>
        </xdr:cNvCxnSpPr>
      </xdr:nvCxnSpPr>
      <xdr:spPr bwMode="auto">
        <a:xfrm flipV="1">
          <a:off x="6560820" y="25603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19</xdr:row>
      <xdr:rowOff>15240</xdr:rowOff>
    </xdr:from>
    <xdr:to>
      <xdr:col>13</xdr:col>
      <xdr:colOff>358140</xdr:colOff>
      <xdr:row>22</xdr:row>
      <xdr:rowOff>160020</xdr:rowOff>
    </xdr:to>
    <xdr:cxnSp macro="">
      <xdr:nvCxnSpPr>
        <xdr:cNvPr id="68683" name="Straight Connector 222">
          <a:extLst>
            <a:ext uri="{FF2B5EF4-FFF2-40B4-BE49-F238E27FC236}">
              <a16:creationId xmlns:a16="http://schemas.microsoft.com/office/drawing/2014/main" id="{1755AD35-6F9E-4FB5-9148-38EC709B57BF}"/>
            </a:ext>
          </a:extLst>
        </xdr:cNvPr>
        <xdr:cNvCxnSpPr>
          <a:cxnSpLocks noChangeShapeType="1"/>
        </xdr:cNvCxnSpPr>
      </xdr:nvCxnSpPr>
      <xdr:spPr bwMode="auto">
        <a:xfrm>
          <a:off x="6560820" y="32004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70</xdr:row>
      <xdr:rowOff>15240</xdr:rowOff>
    </xdr:from>
    <xdr:to>
      <xdr:col>15</xdr:col>
      <xdr:colOff>350520</xdr:colOff>
      <xdr:row>70</xdr:row>
      <xdr:rowOff>15240</xdr:rowOff>
    </xdr:to>
    <xdr:cxnSp macro="">
      <xdr:nvCxnSpPr>
        <xdr:cNvPr id="68684" name="Straight Connector 223">
          <a:extLst>
            <a:ext uri="{FF2B5EF4-FFF2-40B4-BE49-F238E27FC236}">
              <a16:creationId xmlns:a16="http://schemas.microsoft.com/office/drawing/2014/main" id="{3E02957F-D61E-4D2C-AEB5-9CD8995B73D6}"/>
            </a:ext>
          </a:extLst>
        </xdr:cNvPr>
        <xdr:cNvCxnSpPr>
          <a:cxnSpLocks noChangeShapeType="1"/>
        </xdr:cNvCxnSpPr>
      </xdr:nvCxnSpPr>
      <xdr:spPr bwMode="auto">
        <a:xfrm>
          <a:off x="7551420" y="117500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66</xdr:row>
      <xdr:rowOff>45720</xdr:rowOff>
    </xdr:from>
    <xdr:to>
      <xdr:col>15</xdr:col>
      <xdr:colOff>350520</xdr:colOff>
      <xdr:row>70</xdr:row>
      <xdr:rowOff>15240</xdr:rowOff>
    </xdr:to>
    <xdr:cxnSp macro="">
      <xdr:nvCxnSpPr>
        <xdr:cNvPr id="68685" name="Straight Connector 224">
          <a:extLst>
            <a:ext uri="{FF2B5EF4-FFF2-40B4-BE49-F238E27FC236}">
              <a16:creationId xmlns:a16="http://schemas.microsoft.com/office/drawing/2014/main" id="{B944F65A-1EEA-4D79-91E7-56F002CD4131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111099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70</xdr:row>
      <xdr:rowOff>15240</xdr:rowOff>
    </xdr:from>
    <xdr:to>
      <xdr:col>15</xdr:col>
      <xdr:colOff>350520</xdr:colOff>
      <xdr:row>73</xdr:row>
      <xdr:rowOff>160020</xdr:rowOff>
    </xdr:to>
    <xdr:cxnSp macro="">
      <xdr:nvCxnSpPr>
        <xdr:cNvPr id="68686" name="Straight Connector 225">
          <a:extLst>
            <a:ext uri="{FF2B5EF4-FFF2-40B4-BE49-F238E27FC236}">
              <a16:creationId xmlns:a16="http://schemas.microsoft.com/office/drawing/2014/main" id="{D9EBCD0A-D7E5-4D69-9572-7CA7C9862A0D}"/>
            </a:ext>
          </a:extLst>
        </xdr:cNvPr>
        <xdr:cNvCxnSpPr>
          <a:cxnSpLocks noChangeShapeType="1"/>
        </xdr:cNvCxnSpPr>
      </xdr:nvCxnSpPr>
      <xdr:spPr bwMode="auto">
        <a:xfrm>
          <a:off x="7551420" y="117500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66</xdr:row>
      <xdr:rowOff>30480</xdr:rowOff>
    </xdr:from>
    <xdr:to>
      <xdr:col>15</xdr:col>
      <xdr:colOff>350520</xdr:colOff>
      <xdr:row>66</xdr:row>
      <xdr:rowOff>30480</xdr:rowOff>
    </xdr:to>
    <xdr:cxnSp macro="">
      <xdr:nvCxnSpPr>
        <xdr:cNvPr id="68687" name="Straight Connector 226">
          <a:extLst>
            <a:ext uri="{FF2B5EF4-FFF2-40B4-BE49-F238E27FC236}">
              <a16:creationId xmlns:a16="http://schemas.microsoft.com/office/drawing/2014/main" id="{F4B2C4B2-DA07-4903-A4F7-3FC8557DADDE}"/>
            </a:ext>
          </a:extLst>
        </xdr:cNvPr>
        <xdr:cNvCxnSpPr>
          <a:cxnSpLocks noChangeShapeType="1"/>
        </xdr:cNvCxnSpPr>
      </xdr:nvCxnSpPr>
      <xdr:spPr bwMode="auto">
        <a:xfrm>
          <a:off x="7551420" y="110947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62</xdr:row>
      <xdr:rowOff>60960</xdr:rowOff>
    </xdr:from>
    <xdr:to>
      <xdr:col>15</xdr:col>
      <xdr:colOff>350520</xdr:colOff>
      <xdr:row>66</xdr:row>
      <xdr:rowOff>30480</xdr:rowOff>
    </xdr:to>
    <xdr:cxnSp macro="">
      <xdr:nvCxnSpPr>
        <xdr:cNvPr id="68688" name="Straight Connector 227">
          <a:extLst>
            <a:ext uri="{FF2B5EF4-FFF2-40B4-BE49-F238E27FC236}">
              <a16:creationId xmlns:a16="http://schemas.microsoft.com/office/drawing/2014/main" id="{53763C6D-A6AA-4054-9C13-A5D2004859CD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1045464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66</xdr:row>
      <xdr:rowOff>30480</xdr:rowOff>
    </xdr:from>
    <xdr:to>
      <xdr:col>15</xdr:col>
      <xdr:colOff>350520</xdr:colOff>
      <xdr:row>70</xdr:row>
      <xdr:rowOff>7620</xdr:rowOff>
    </xdr:to>
    <xdr:cxnSp macro="">
      <xdr:nvCxnSpPr>
        <xdr:cNvPr id="68689" name="Straight Connector 228">
          <a:extLst>
            <a:ext uri="{FF2B5EF4-FFF2-40B4-BE49-F238E27FC236}">
              <a16:creationId xmlns:a16="http://schemas.microsoft.com/office/drawing/2014/main" id="{691A05B5-ABD8-43BE-B09D-6AF11AFA9237}"/>
            </a:ext>
          </a:extLst>
        </xdr:cNvPr>
        <xdr:cNvCxnSpPr>
          <a:cxnSpLocks noChangeShapeType="1"/>
        </xdr:cNvCxnSpPr>
      </xdr:nvCxnSpPr>
      <xdr:spPr bwMode="auto">
        <a:xfrm>
          <a:off x="7551420" y="110947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62</xdr:row>
      <xdr:rowOff>45720</xdr:rowOff>
    </xdr:from>
    <xdr:to>
      <xdr:col>15</xdr:col>
      <xdr:colOff>350520</xdr:colOff>
      <xdr:row>62</xdr:row>
      <xdr:rowOff>45720</xdr:rowOff>
    </xdr:to>
    <xdr:cxnSp macro="">
      <xdr:nvCxnSpPr>
        <xdr:cNvPr id="68690" name="Straight Connector 229">
          <a:extLst>
            <a:ext uri="{FF2B5EF4-FFF2-40B4-BE49-F238E27FC236}">
              <a16:creationId xmlns:a16="http://schemas.microsoft.com/office/drawing/2014/main" id="{0344E222-70E1-4B09-AD24-A09277D67D97}"/>
            </a:ext>
          </a:extLst>
        </xdr:cNvPr>
        <xdr:cNvCxnSpPr>
          <a:cxnSpLocks noChangeShapeType="1"/>
        </xdr:cNvCxnSpPr>
      </xdr:nvCxnSpPr>
      <xdr:spPr bwMode="auto">
        <a:xfrm>
          <a:off x="7551420" y="104394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58</xdr:row>
      <xdr:rowOff>68580</xdr:rowOff>
    </xdr:from>
    <xdr:to>
      <xdr:col>15</xdr:col>
      <xdr:colOff>350520</xdr:colOff>
      <xdr:row>62</xdr:row>
      <xdr:rowOff>45720</xdr:rowOff>
    </xdr:to>
    <xdr:cxnSp macro="">
      <xdr:nvCxnSpPr>
        <xdr:cNvPr id="68691" name="Straight Connector 230">
          <a:extLst>
            <a:ext uri="{FF2B5EF4-FFF2-40B4-BE49-F238E27FC236}">
              <a16:creationId xmlns:a16="http://schemas.microsoft.com/office/drawing/2014/main" id="{49B1C440-E8AC-4F8D-B76D-F2C1EB2A3547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97917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62</xdr:row>
      <xdr:rowOff>45720</xdr:rowOff>
    </xdr:from>
    <xdr:to>
      <xdr:col>15</xdr:col>
      <xdr:colOff>350520</xdr:colOff>
      <xdr:row>66</xdr:row>
      <xdr:rowOff>15240</xdr:rowOff>
    </xdr:to>
    <xdr:cxnSp macro="">
      <xdr:nvCxnSpPr>
        <xdr:cNvPr id="68692" name="Straight Connector 231">
          <a:extLst>
            <a:ext uri="{FF2B5EF4-FFF2-40B4-BE49-F238E27FC236}">
              <a16:creationId xmlns:a16="http://schemas.microsoft.com/office/drawing/2014/main" id="{619893D7-7F40-4EE5-9CB3-9685FBB8B1A9}"/>
            </a:ext>
          </a:extLst>
        </xdr:cNvPr>
        <xdr:cNvCxnSpPr>
          <a:cxnSpLocks noChangeShapeType="1"/>
        </xdr:cNvCxnSpPr>
      </xdr:nvCxnSpPr>
      <xdr:spPr bwMode="auto">
        <a:xfrm>
          <a:off x="7551420" y="104394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58</xdr:row>
      <xdr:rowOff>60960</xdr:rowOff>
    </xdr:from>
    <xdr:to>
      <xdr:col>15</xdr:col>
      <xdr:colOff>350520</xdr:colOff>
      <xdr:row>58</xdr:row>
      <xdr:rowOff>60960</xdr:rowOff>
    </xdr:to>
    <xdr:cxnSp macro="">
      <xdr:nvCxnSpPr>
        <xdr:cNvPr id="68693" name="Straight Connector 232">
          <a:extLst>
            <a:ext uri="{FF2B5EF4-FFF2-40B4-BE49-F238E27FC236}">
              <a16:creationId xmlns:a16="http://schemas.microsoft.com/office/drawing/2014/main" id="{B8BD45F5-B0AF-4055-AAB3-A12EBE145265}"/>
            </a:ext>
          </a:extLst>
        </xdr:cNvPr>
        <xdr:cNvCxnSpPr>
          <a:cxnSpLocks noChangeShapeType="1"/>
        </xdr:cNvCxnSpPr>
      </xdr:nvCxnSpPr>
      <xdr:spPr bwMode="auto">
        <a:xfrm>
          <a:off x="7551420" y="97840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54</xdr:row>
      <xdr:rowOff>83820</xdr:rowOff>
    </xdr:from>
    <xdr:to>
      <xdr:col>15</xdr:col>
      <xdr:colOff>350520</xdr:colOff>
      <xdr:row>58</xdr:row>
      <xdr:rowOff>60960</xdr:rowOff>
    </xdr:to>
    <xdr:cxnSp macro="">
      <xdr:nvCxnSpPr>
        <xdr:cNvPr id="68694" name="Straight Connector 233">
          <a:extLst>
            <a:ext uri="{FF2B5EF4-FFF2-40B4-BE49-F238E27FC236}">
              <a16:creationId xmlns:a16="http://schemas.microsoft.com/office/drawing/2014/main" id="{9F970548-A06D-4B99-9527-DCD8191C6060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91363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58</xdr:row>
      <xdr:rowOff>60960</xdr:rowOff>
    </xdr:from>
    <xdr:to>
      <xdr:col>15</xdr:col>
      <xdr:colOff>350520</xdr:colOff>
      <xdr:row>62</xdr:row>
      <xdr:rowOff>30480</xdr:rowOff>
    </xdr:to>
    <xdr:cxnSp macro="">
      <xdr:nvCxnSpPr>
        <xdr:cNvPr id="68695" name="Straight Connector 234">
          <a:extLst>
            <a:ext uri="{FF2B5EF4-FFF2-40B4-BE49-F238E27FC236}">
              <a16:creationId xmlns:a16="http://schemas.microsoft.com/office/drawing/2014/main" id="{BB29371D-BF48-4F04-884E-E30DFFCDBD1E}"/>
            </a:ext>
          </a:extLst>
        </xdr:cNvPr>
        <xdr:cNvCxnSpPr>
          <a:cxnSpLocks noChangeShapeType="1"/>
        </xdr:cNvCxnSpPr>
      </xdr:nvCxnSpPr>
      <xdr:spPr bwMode="auto">
        <a:xfrm>
          <a:off x="7551420" y="97840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54</xdr:row>
      <xdr:rowOff>68580</xdr:rowOff>
    </xdr:from>
    <xdr:to>
      <xdr:col>15</xdr:col>
      <xdr:colOff>350520</xdr:colOff>
      <xdr:row>54</xdr:row>
      <xdr:rowOff>68580</xdr:rowOff>
    </xdr:to>
    <xdr:cxnSp macro="">
      <xdr:nvCxnSpPr>
        <xdr:cNvPr id="68696" name="Straight Connector 235">
          <a:extLst>
            <a:ext uri="{FF2B5EF4-FFF2-40B4-BE49-F238E27FC236}">
              <a16:creationId xmlns:a16="http://schemas.microsoft.com/office/drawing/2014/main" id="{E5AE660E-CFFB-4D65-B001-884609E83315}"/>
            </a:ext>
          </a:extLst>
        </xdr:cNvPr>
        <xdr:cNvCxnSpPr>
          <a:cxnSpLocks noChangeShapeType="1"/>
        </xdr:cNvCxnSpPr>
      </xdr:nvCxnSpPr>
      <xdr:spPr bwMode="auto">
        <a:xfrm>
          <a:off x="7551420" y="91211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50</xdr:row>
      <xdr:rowOff>99060</xdr:rowOff>
    </xdr:from>
    <xdr:to>
      <xdr:col>15</xdr:col>
      <xdr:colOff>350520</xdr:colOff>
      <xdr:row>54</xdr:row>
      <xdr:rowOff>68580</xdr:rowOff>
    </xdr:to>
    <xdr:cxnSp macro="">
      <xdr:nvCxnSpPr>
        <xdr:cNvPr id="68697" name="Straight Connector 236">
          <a:extLst>
            <a:ext uri="{FF2B5EF4-FFF2-40B4-BE49-F238E27FC236}">
              <a16:creationId xmlns:a16="http://schemas.microsoft.com/office/drawing/2014/main" id="{D9E4C3E9-18C1-4A30-80F3-87B908D4ED0C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84810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54</xdr:row>
      <xdr:rowOff>68580</xdr:rowOff>
    </xdr:from>
    <xdr:to>
      <xdr:col>15</xdr:col>
      <xdr:colOff>350520</xdr:colOff>
      <xdr:row>58</xdr:row>
      <xdr:rowOff>45720</xdr:rowOff>
    </xdr:to>
    <xdr:cxnSp macro="">
      <xdr:nvCxnSpPr>
        <xdr:cNvPr id="68698" name="Straight Connector 237">
          <a:extLst>
            <a:ext uri="{FF2B5EF4-FFF2-40B4-BE49-F238E27FC236}">
              <a16:creationId xmlns:a16="http://schemas.microsoft.com/office/drawing/2014/main" id="{09BCA995-6202-46C6-A5B8-1D61626429AA}"/>
            </a:ext>
          </a:extLst>
        </xdr:cNvPr>
        <xdr:cNvCxnSpPr>
          <a:cxnSpLocks noChangeShapeType="1"/>
        </xdr:cNvCxnSpPr>
      </xdr:nvCxnSpPr>
      <xdr:spPr bwMode="auto">
        <a:xfrm>
          <a:off x="7551420" y="91211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50</xdr:row>
      <xdr:rowOff>83820</xdr:rowOff>
    </xdr:from>
    <xdr:to>
      <xdr:col>15</xdr:col>
      <xdr:colOff>350520</xdr:colOff>
      <xdr:row>50</xdr:row>
      <xdr:rowOff>83820</xdr:rowOff>
    </xdr:to>
    <xdr:cxnSp macro="">
      <xdr:nvCxnSpPr>
        <xdr:cNvPr id="68699" name="Straight Connector 238">
          <a:extLst>
            <a:ext uri="{FF2B5EF4-FFF2-40B4-BE49-F238E27FC236}">
              <a16:creationId xmlns:a16="http://schemas.microsoft.com/office/drawing/2014/main" id="{5503A266-EC26-48A7-8187-387FDB072AB5}"/>
            </a:ext>
          </a:extLst>
        </xdr:cNvPr>
        <xdr:cNvCxnSpPr>
          <a:cxnSpLocks noChangeShapeType="1"/>
        </xdr:cNvCxnSpPr>
      </xdr:nvCxnSpPr>
      <xdr:spPr bwMode="auto">
        <a:xfrm>
          <a:off x="7551420" y="84658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46</xdr:row>
      <xdr:rowOff>106680</xdr:rowOff>
    </xdr:from>
    <xdr:to>
      <xdr:col>15</xdr:col>
      <xdr:colOff>350520</xdr:colOff>
      <xdr:row>50</xdr:row>
      <xdr:rowOff>83820</xdr:rowOff>
    </xdr:to>
    <xdr:cxnSp macro="">
      <xdr:nvCxnSpPr>
        <xdr:cNvPr id="68700" name="Straight Connector 239">
          <a:extLst>
            <a:ext uri="{FF2B5EF4-FFF2-40B4-BE49-F238E27FC236}">
              <a16:creationId xmlns:a16="http://schemas.microsoft.com/office/drawing/2014/main" id="{36B9014C-C254-4006-B3B3-65A2D6C8D903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78181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50</xdr:row>
      <xdr:rowOff>83820</xdr:rowOff>
    </xdr:from>
    <xdr:to>
      <xdr:col>15</xdr:col>
      <xdr:colOff>350520</xdr:colOff>
      <xdr:row>54</xdr:row>
      <xdr:rowOff>60960</xdr:rowOff>
    </xdr:to>
    <xdr:cxnSp macro="">
      <xdr:nvCxnSpPr>
        <xdr:cNvPr id="68701" name="Straight Connector 240">
          <a:extLst>
            <a:ext uri="{FF2B5EF4-FFF2-40B4-BE49-F238E27FC236}">
              <a16:creationId xmlns:a16="http://schemas.microsoft.com/office/drawing/2014/main" id="{734BF292-94C2-4472-9DCB-F44BF321B31D}"/>
            </a:ext>
          </a:extLst>
        </xdr:cNvPr>
        <xdr:cNvCxnSpPr>
          <a:cxnSpLocks noChangeShapeType="1"/>
        </xdr:cNvCxnSpPr>
      </xdr:nvCxnSpPr>
      <xdr:spPr bwMode="auto">
        <a:xfrm>
          <a:off x="7551420" y="84658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46</xdr:row>
      <xdr:rowOff>99060</xdr:rowOff>
    </xdr:from>
    <xdr:to>
      <xdr:col>15</xdr:col>
      <xdr:colOff>350520</xdr:colOff>
      <xdr:row>46</xdr:row>
      <xdr:rowOff>99060</xdr:rowOff>
    </xdr:to>
    <xdr:cxnSp macro="">
      <xdr:nvCxnSpPr>
        <xdr:cNvPr id="68702" name="Straight Connector 241">
          <a:extLst>
            <a:ext uri="{FF2B5EF4-FFF2-40B4-BE49-F238E27FC236}">
              <a16:creationId xmlns:a16="http://schemas.microsoft.com/office/drawing/2014/main" id="{A6670B22-274D-4908-AA5F-3AAA3D14F2EC}"/>
            </a:ext>
          </a:extLst>
        </xdr:cNvPr>
        <xdr:cNvCxnSpPr>
          <a:cxnSpLocks noChangeShapeType="1"/>
        </xdr:cNvCxnSpPr>
      </xdr:nvCxnSpPr>
      <xdr:spPr bwMode="auto">
        <a:xfrm>
          <a:off x="7551420" y="78105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42</xdr:row>
      <xdr:rowOff>121920</xdr:rowOff>
    </xdr:from>
    <xdr:to>
      <xdr:col>15</xdr:col>
      <xdr:colOff>350520</xdr:colOff>
      <xdr:row>46</xdr:row>
      <xdr:rowOff>99060</xdr:rowOff>
    </xdr:to>
    <xdr:cxnSp macro="">
      <xdr:nvCxnSpPr>
        <xdr:cNvPr id="68703" name="Straight Connector 242">
          <a:extLst>
            <a:ext uri="{FF2B5EF4-FFF2-40B4-BE49-F238E27FC236}">
              <a16:creationId xmlns:a16="http://schemas.microsoft.com/office/drawing/2014/main" id="{7EEA8CE1-E640-4654-BACA-DF14A62DA21B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71628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46</xdr:row>
      <xdr:rowOff>99060</xdr:rowOff>
    </xdr:from>
    <xdr:to>
      <xdr:col>15</xdr:col>
      <xdr:colOff>350520</xdr:colOff>
      <xdr:row>50</xdr:row>
      <xdr:rowOff>68580</xdr:rowOff>
    </xdr:to>
    <xdr:cxnSp macro="">
      <xdr:nvCxnSpPr>
        <xdr:cNvPr id="68704" name="Straight Connector 243">
          <a:extLst>
            <a:ext uri="{FF2B5EF4-FFF2-40B4-BE49-F238E27FC236}">
              <a16:creationId xmlns:a16="http://schemas.microsoft.com/office/drawing/2014/main" id="{351D35D1-13D4-48C2-9E23-26F8FBA40AB1}"/>
            </a:ext>
          </a:extLst>
        </xdr:cNvPr>
        <xdr:cNvCxnSpPr>
          <a:cxnSpLocks noChangeShapeType="1"/>
        </xdr:cNvCxnSpPr>
      </xdr:nvCxnSpPr>
      <xdr:spPr bwMode="auto">
        <a:xfrm>
          <a:off x="7551420" y="78105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42</xdr:row>
      <xdr:rowOff>106680</xdr:rowOff>
    </xdr:from>
    <xdr:to>
      <xdr:col>15</xdr:col>
      <xdr:colOff>350520</xdr:colOff>
      <xdr:row>42</xdr:row>
      <xdr:rowOff>106680</xdr:rowOff>
    </xdr:to>
    <xdr:cxnSp macro="">
      <xdr:nvCxnSpPr>
        <xdr:cNvPr id="68705" name="Straight Connector 244">
          <a:extLst>
            <a:ext uri="{FF2B5EF4-FFF2-40B4-BE49-F238E27FC236}">
              <a16:creationId xmlns:a16="http://schemas.microsoft.com/office/drawing/2014/main" id="{D3ED9307-50C5-4C0C-9C8C-7EAA8B35CE97}"/>
            </a:ext>
          </a:extLst>
        </xdr:cNvPr>
        <xdr:cNvCxnSpPr>
          <a:cxnSpLocks noChangeShapeType="1"/>
        </xdr:cNvCxnSpPr>
      </xdr:nvCxnSpPr>
      <xdr:spPr bwMode="auto">
        <a:xfrm>
          <a:off x="755142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38</xdr:row>
      <xdr:rowOff>137160</xdr:rowOff>
    </xdr:from>
    <xdr:to>
      <xdr:col>15</xdr:col>
      <xdr:colOff>350520</xdr:colOff>
      <xdr:row>42</xdr:row>
      <xdr:rowOff>106680</xdr:rowOff>
    </xdr:to>
    <xdr:cxnSp macro="">
      <xdr:nvCxnSpPr>
        <xdr:cNvPr id="68706" name="Straight Connector 245">
          <a:extLst>
            <a:ext uri="{FF2B5EF4-FFF2-40B4-BE49-F238E27FC236}">
              <a16:creationId xmlns:a16="http://schemas.microsoft.com/office/drawing/2014/main" id="{EC48E2F9-203A-4D75-AB71-DC723C02A54D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42</xdr:row>
      <xdr:rowOff>106680</xdr:rowOff>
    </xdr:from>
    <xdr:to>
      <xdr:col>15</xdr:col>
      <xdr:colOff>350520</xdr:colOff>
      <xdr:row>46</xdr:row>
      <xdr:rowOff>83820</xdr:rowOff>
    </xdr:to>
    <xdr:cxnSp macro="">
      <xdr:nvCxnSpPr>
        <xdr:cNvPr id="68707" name="Straight Connector 246">
          <a:extLst>
            <a:ext uri="{FF2B5EF4-FFF2-40B4-BE49-F238E27FC236}">
              <a16:creationId xmlns:a16="http://schemas.microsoft.com/office/drawing/2014/main" id="{B7A6F186-4D8B-464A-941D-C7C5B48D560E}"/>
            </a:ext>
          </a:extLst>
        </xdr:cNvPr>
        <xdr:cNvCxnSpPr>
          <a:cxnSpLocks noChangeShapeType="1"/>
        </xdr:cNvCxnSpPr>
      </xdr:nvCxnSpPr>
      <xdr:spPr bwMode="auto">
        <a:xfrm>
          <a:off x="755142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38</xdr:row>
      <xdr:rowOff>121920</xdr:rowOff>
    </xdr:from>
    <xdr:to>
      <xdr:col>15</xdr:col>
      <xdr:colOff>350520</xdr:colOff>
      <xdr:row>38</xdr:row>
      <xdr:rowOff>121920</xdr:rowOff>
    </xdr:to>
    <xdr:cxnSp macro="">
      <xdr:nvCxnSpPr>
        <xdr:cNvPr id="68708" name="Straight Connector 247">
          <a:extLst>
            <a:ext uri="{FF2B5EF4-FFF2-40B4-BE49-F238E27FC236}">
              <a16:creationId xmlns:a16="http://schemas.microsoft.com/office/drawing/2014/main" id="{F504D15A-07AF-4452-9F55-2AF4B8420AE5}"/>
            </a:ext>
          </a:extLst>
        </xdr:cNvPr>
        <xdr:cNvCxnSpPr>
          <a:cxnSpLocks noChangeShapeType="1"/>
        </xdr:cNvCxnSpPr>
      </xdr:nvCxnSpPr>
      <xdr:spPr bwMode="auto">
        <a:xfrm>
          <a:off x="7551420" y="64922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34</xdr:row>
      <xdr:rowOff>144780</xdr:rowOff>
    </xdr:from>
    <xdr:to>
      <xdr:col>15</xdr:col>
      <xdr:colOff>350520</xdr:colOff>
      <xdr:row>38</xdr:row>
      <xdr:rowOff>121920</xdr:rowOff>
    </xdr:to>
    <xdr:cxnSp macro="">
      <xdr:nvCxnSpPr>
        <xdr:cNvPr id="68709" name="Straight Connector 248">
          <a:extLst>
            <a:ext uri="{FF2B5EF4-FFF2-40B4-BE49-F238E27FC236}">
              <a16:creationId xmlns:a16="http://schemas.microsoft.com/office/drawing/2014/main" id="{213FE59B-270A-49C7-838C-33D0B0A3A0D6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58445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38</xdr:row>
      <xdr:rowOff>121920</xdr:rowOff>
    </xdr:from>
    <xdr:to>
      <xdr:col>15</xdr:col>
      <xdr:colOff>350520</xdr:colOff>
      <xdr:row>42</xdr:row>
      <xdr:rowOff>99060</xdr:rowOff>
    </xdr:to>
    <xdr:cxnSp macro="">
      <xdr:nvCxnSpPr>
        <xdr:cNvPr id="68710" name="Straight Connector 249">
          <a:extLst>
            <a:ext uri="{FF2B5EF4-FFF2-40B4-BE49-F238E27FC236}">
              <a16:creationId xmlns:a16="http://schemas.microsoft.com/office/drawing/2014/main" id="{6131AC62-531E-4118-B617-900DE4D1AC98}"/>
            </a:ext>
          </a:extLst>
        </xdr:cNvPr>
        <xdr:cNvCxnSpPr>
          <a:cxnSpLocks noChangeShapeType="1"/>
        </xdr:cNvCxnSpPr>
      </xdr:nvCxnSpPr>
      <xdr:spPr bwMode="auto">
        <a:xfrm>
          <a:off x="7551420" y="64922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34</xdr:row>
      <xdr:rowOff>137160</xdr:rowOff>
    </xdr:from>
    <xdr:to>
      <xdr:col>15</xdr:col>
      <xdr:colOff>350520</xdr:colOff>
      <xdr:row>34</xdr:row>
      <xdr:rowOff>137160</xdr:rowOff>
    </xdr:to>
    <xdr:cxnSp macro="">
      <xdr:nvCxnSpPr>
        <xdr:cNvPr id="68711" name="Straight Connector 250">
          <a:extLst>
            <a:ext uri="{FF2B5EF4-FFF2-40B4-BE49-F238E27FC236}">
              <a16:creationId xmlns:a16="http://schemas.microsoft.com/office/drawing/2014/main" id="{8C26ACDF-1CF0-4E8A-96DC-D22307A6401F}"/>
            </a:ext>
          </a:extLst>
        </xdr:cNvPr>
        <xdr:cNvCxnSpPr>
          <a:cxnSpLocks noChangeShapeType="1"/>
        </xdr:cNvCxnSpPr>
      </xdr:nvCxnSpPr>
      <xdr:spPr bwMode="auto">
        <a:xfrm>
          <a:off x="7551420" y="58369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30</xdr:row>
      <xdr:rowOff>160020</xdr:rowOff>
    </xdr:from>
    <xdr:to>
      <xdr:col>15</xdr:col>
      <xdr:colOff>350520</xdr:colOff>
      <xdr:row>34</xdr:row>
      <xdr:rowOff>137160</xdr:rowOff>
    </xdr:to>
    <xdr:cxnSp macro="">
      <xdr:nvCxnSpPr>
        <xdr:cNvPr id="68712" name="Straight Connector 251">
          <a:extLst>
            <a:ext uri="{FF2B5EF4-FFF2-40B4-BE49-F238E27FC236}">
              <a16:creationId xmlns:a16="http://schemas.microsoft.com/office/drawing/2014/main" id="{24F1F5ED-21D7-46FB-A2DA-807EE2FB0C0C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51892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34</xdr:row>
      <xdr:rowOff>137160</xdr:rowOff>
    </xdr:from>
    <xdr:to>
      <xdr:col>15</xdr:col>
      <xdr:colOff>350520</xdr:colOff>
      <xdr:row>38</xdr:row>
      <xdr:rowOff>106680</xdr:rowOff>
    </xdr:to>
    <xdr:cxnSp macro="">
      <xdr:nvCxnSpPr>
        <xdr:cNvPr id="68713" name="Straight Connector 252">
          <a:extLst>
            <a:ext uri="{FF2B5EF4-FFF2-40B4-BE49-F238E27FC236}">
              <a16:creationId xmlns:a16="http://schemas.microsoft.com/office/drawing/2014/main" id="{11263B2E-1086-4049-A280-68803D29F880}"/>
            </a:ext>
          </a:extLst>
        </xdr:cNvPr>
        <xdr:cNvCxnSpPr>
          <a:cxnSpLocks noChangeShapeType="1"/>
        </xdr:cNvCxnSpPr>
      </xdr:nvCxnSpPr>
      <xdr:spPr bwMode="auto">
        <a:xfrm>
          <a:off x="7551420" y="58369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30</xdr:row>
      <xdr:rowOff>144780</xdr:rowOff>
    </xdr:from>
    <xdr:to>
      <xdr:col>15</xdr:col>
      <xdr:colOff>350520</xdr:colOff>
      <xdr:row>30</xdr:row>
      <xdr:rowOff>144780</xdr:rowOff>
    </xdr:to>
    <xdr:cxnSp macro="">
      <xdr:nvCxnSpPr>
        <xdr:cNvPr id="68714" name="Straight Connector 253">
          <a:extLst>
            <a:ext uri="{FF2B5EF4-FFF2-40B4-BE49-F238E27FC236}">
              <a16:creationId xmlns:a16="http://schemas.microsoft.com/office/drawing/2014/main" id="{9D528ABF-9FA3-48AC-B713-D1896DA2E338}"/>
            </a:ext>
          </a:extLst>
        </xdr:cNvPr>
        <xdr:cNvCxnSpPr>
          <a:cxnSpLocks noChangeShapeType="1"/>
        </xdr:cNvCxnSpPr>
      </xdr:nvCxnSpPr>
      <xdr:spPr bwMode="auto">
        <a:xfrm>
          <a:off x="7551420" y="51739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27</xdr:row>
      <xdr:rowOff>7620</xdr:rowOff>
    </xdr:from>
    <xdr:to>
      <xdr:col>15</xdr:col>
      <xdr:colOff>350520</xdr:colOff>
      <xdr:row>30</xdr:row>
      <xdr:rowOff>144780</xdr:rowOff>
    </xdr:to>
    <xdr:cxnSp macro="">
      <xdr:nvCxnSpPr>
        <xdr:cNvPr id="68715" name="Straight Connector 254">
          <a:extLst>
            <a:ext uri="{FF2B5EF4-FFF2-40B4-BE49-F238E27FC236}">
              <a16:creationId xmlns:a16="http://schemas.microsoft.com/office/drawing/2014/main" id="{468CDF09-C4C1-44CC-9608-94721CA9CA89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45339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30</xdr:row>
      <xdr:rowOff>144780</xdr:rowOff>
    </xdr:from>
    <xdr:to>
      <xdr:col>15</xdr:col>
      <xdr:colOff>350520</xdr:colOff>
      <xdr:row>34</xdr:row>
      <xdr:rowOff>121920</xdr:rowOff>
    </xdr:to>
    <xdr:cxnSp macro="">
      <xdr:nvCxnSpPr>
        <xdr:cNvPr id="68716" name="Straight Connector 255">
          <a:extLst>
            <a:ext uri="{FF2B5EF4-FFF2-40B4-BE49-F238E27FC236}">
              <a16:creationId xmlns:a16="http://schemas.microsoft.com/office/drawing/2014/main" id="{C0CB1C0C-BD5A-4999-9636-94D55FCC46C7}"/>
            </a:ext>
          </a:extLst>
        </xdr:cNvPr>
        <xdr:cNvCxnSpPr>
          <a:cxnSpLocks noChangeShapeType="1"/>
        </xdr:cNvCxnSpPr>
      </xdr:nvCxnSpPr>
      <xdr:spPr bwMode="auto">
        <a:xfrm>
          <a:off x="7551420" y="51739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26</xdr:row>
      <xdr:rowOff>160020</xdr:rowOff>
    </xdr:from>
    <xdr:to>
      <xdr:col>15</xdr:col>
      <xdr:colOff>350520</xdr:colOff>
      <xdr:row>26</xdr:row>
      <xdr:rowOff>160020</xdr:rowOff>
    </xdr:to>
    <xdr:cxnSp macro="">
      <xdr:nvCxnSpPr>
        <xdr:cNvPr id="68717" name="Straight Connector 256">
          <a:extLst>
            <a:ext uri="{FF2B5EF4-FFF2-40B4-BE49-F238E27FC236}">
              <a16:creationId xmlns:a16="http://schemas.microsoft.com/office/drawing/2014/main" id="{D4867DE7-813F-413D-8A96-2E1A3D21959F}"/>
            </a:ext>
          </a:extLst>
        </xdr:cNvPr>
        <xdr:cNvCxnSpPr>
          <a:cxnSpLocks noChangeShapeType="1"/>
        </xdr:cNvCxnSpPr>
      </xdr:nvCxnSpPr>
      <xdr:spPr bwMode="auto">
        <a:xfrm>
          <a:off x="7551420" y="45186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23</xdr:row>
      <xdr:rowOff>15240</xdr:rowOff>
    </xdr:from>
    <xdr:to>
      <xdr:col>15</xdr:col>
      <xdr:colOff>350520</xdr:colOff>
      <xdr:row>26</xdr:row>
      <xdr:rowOff>160020</xdr:rowOff>
    </xdr:to>
    <xdr:cxnSp macro="">
      <xdr:nvCxnSpPr>
        <xdr:cNvPr id="68718" name="Straight Connector 257">
          <a:extLst>
            <a:ext uri="{FF2B5EF4-FFF2-40B4-BE49-F238E27FC236}">
              <a16:creationId xmlns:a16="http://schemas.microsoft.com/office/drawing/2014/main" id="{EB67D76A-0659-4579-873E-3FEA8C535F46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38709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26</xdr:row>
      <xdr:rowOff>160020</xdr:rowOff>
    </xdr:from>
    <xdr:to>
      <xdr:col>15</xdr:col>
      <xdr:colOff>350520</xdr:colOff>
      <xdr:row>30</xdr:row>
      <xdr:rowOff>137160</xdr:rowOff>
    </xdr:to>
    <xdr:cxnSp macro="">
      <xdr:nvCxnSpPr>
        <xdr:cNvPr id="68719" name="Straight Connector 258">
          <a:extLst>
            <a:ext uri="{FF2B5EF4-FFF2-40B4-BE49-F238E27FC236}">
              <a16:creationId xmlns:a16="http://schemas.microsoft.com/office/drawing/2014/main" id="{1DA6FC90-C751-4901-95C0-EFA62A5D7458}"/>
            </a:ext>
          </a:extLst>
        </xdr:cNvPr>
        <xdr:cNvCxnSpPr>
          <a:cxnSpLocks noChangeShapeType="1"/>
        </xdr:cNvCxnSpPr>
      </xdr:nvCxnSpPr>
      <xdr:spPr bwMode="auto">
        <a:xfrm>
          <a:off x="7551420" y="45186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23</xdr:row>
      <xdr:rowOff>7620</xdr:rowOff>
    </xdr:from>
    <xdr:to>
      <xdr:col>15</xdr:col>
      <xdr:colOff>350520</xdr:colOff>
      <xdr:row>23</xdr:row>
      <xdr:rowOff>7620</xdr:rowOff>
    </xdr:to>
    <xdr:cxnSp macro="">
      <xdr:nvCxnSpPr>
        <xdr:cNvPr id="68720" name="Straight Connector 259">
          <a:extLst>
            <a:ext uri="{FF2B5EF4-FFF2-40B4-BE49-F238E27FC236}">
              <a16:creationId xmlns:a16="http://schemas.microsoft.com/office/drawing/2014/main" id="{668239E0-D6EB-4068-99BA-5D2835D4A112}"/>
            </a:ext>
          </a:extLst>
        </xdr:cNvPr>
        <xdr:cNvCxnSpPr>
          <a:cxnSpLocks noChangeShapeType="1"/>
        </xdr:cNvCxnSpPr>
      </xdr:nvCxnSpPr>
      <xdr:spPr bwMode="auto">
        <a:xfrm>
          <a:off x="7551420" y="38633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19</xdr:row>
      <xdr:rowOff>30480</xdr:rowOff>
    </xdr:from>
    <xdr:to>
      <xdr:col>15</xdr:col>
      <xdr:colOff>350520</xdr:colOff>
      <xdr:row>23</xdr:row>
      <xdr:rowOff>7620</xdr:rowOff>
    </xdr:to>
    <xdr:cxnSp macro="">
      <xdr:nvCxnSpPr>
        <xdr:cNvPr id="68721" name="Straight Connector 260">
          <a:extLst>
            <a:ext uri="{FF2B5EF4-FFF2-40B4-BE49-F238E27FC236}">
              <a16:creationId xmlns:a16="http://schemas.microsoft.com/office/drawing/2014/main" id="{8B97F77F-90BA-4CA8-8C72-BA9E1D20532D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32156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23</xdr:row>
      <xdr:rowOff>7620</xdr:rowOff>
    </xdr:from>
    <xdr:to>
      <xdr:col>15</xdr:col>
      <xdr:colOff>350520</xdr:colOff>
      <xdr:row>26</xdr:row>
      <xdr:rowOff>144780</xdr:rowOff>
    </xdr:to>
    <xdr:cxnSp macro="">
      <xdr:nvCxnSpPr>
        <xdr:cNvPr id="68722" name="Straight Connector 261">
          <a:extLst>
            <a:ext uri="{FF2B5EF4-FFF2-40B4-BE49-F238E27FC236}">
              <a16:creationId xmlns:a16="http://schemas.microsoft.com/office/drawing/2014/main" id="{24C9600D-F493-4D93-A689-202C0FC3DA06}"/>
            </a:ext>
          </a:extLst>
        </xdr:cNvPr>
        <xdr:cNvCxnSpPr>
          <a:cxnSpLocks noChangeShapeType="1"/>
        </xdr:cNvCxnSpPr>
      </xdr:nvCxnSpPr>
      <xdr:spPr bwMode="auto">
        <a:xfrm>
          <a:off x="7551420" y="386334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19</xdr:row>
      <xdr:rowOff>15240</xdr:rowOff>
    </xdr:from>
    <xdr:to>
      <xdr:col>15</xdr:col>
      <xdr:colOff>350520</xdr:colOff>
      <xdr:row>19</xdr:row>
      <xdr:rowOff>15240</xdr:rowOff>
    </xdr:to>
    <xdr:cxnSp macro="">
      <xdr:nvCxnSpPr>
        <xdr:cNvPr id="68723" name="Straight Connector 262">
          <a:extLst>
            <a:ext uri="{FF2B5EF4-FFF2-40B4-BE49-F238E27FC236}">
              <a16:creationId xmlns:a16="http://schemas.microsoft.com/office/drawing/2014/main" id="{055F092D-8C0D-443C-8F0F-050268E89625}"/>
            </a:ext>
          </a:extLst>
        </xdr:cNvPr>
        <xdr:cNvCxnSpPr>
          <a:cxnSpLocks noChangeShapeType="1"/>
        </xdr:cNvCxnSpPr>
      </xdr:nvCxnSpPr>
      <xdr:spPr bwMode="auto">
        <a:xfrm>
          <a:off x="7551420" y="32004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15</xdr:row>
      <xdr:rowOff>45720</xdr:rowOff>
    </xdr:from>
    <xdr:to>
      <xdr:col>15</xdr:col>
      <xdr:colOff>350520</xdr:colOff>
      <xdr:row>19</xdr:row>
      <xdr:rowOff>15240</xdr:rowOff>
    </xdr:to>
    <xdr:cxnSp macro="">
      <xdr:nvCxnSpPr>
        <xdr:cNvPr id="68724" name="Straight Connector 263">
          <a:extLst>
            <a:ext uri="{FF2B5EF4-FFF2-40B4-BE49-F238E27FC236}">
              <a16:creationId xmlns:a16="http://schemas.microsoft.com/office/drawing/2014/main" id="{BA006138-9E3D-41EF-B317-888F851CCF8F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25603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19</xdr:row>
      <xdr:rowOff>15240</xdr:rowOff>
    </xdr:from>
    <xdr:to>
      <xdr:col>15</xdr:col>
      <xdr:colOff>350520</xdr:colOff>
      <xdr:row>22</xdr:row>
      <xdr:rowOff>160020</xdr:rowOff>
    </xdr:to>
    <xdr:cxnSp macro="">
      <xdr:nvCxnSpPr>
        <xdr:cNvPr id="68725" name="Straight Connector 264">
          <a:extLst>
            <a:ext uri="{FF2B5EF4-FFF2-40B4-BE49-F238E27FC236}">
              <a16:creationId xmlns:a16="http://schemas.microsoft.com/office/drawing/2014/main" id="{3B2DB976-98E4-4494-8261-DFE69AEBAC22}"/>
            </a:ext>
          </a:extLst>
        </xdr:cNvPr>
        <xdr:cNvCxnSpPr>
          <a:cxnSpLocks noChangeShapeType="1"/>
        </xdr:cNvCxnSpPr>
      </xdr:nvCxnSpPr>
      <xdr:spPr bwMode="auto">
        <a:xfrm>
          <a:off x="7551420" y="32004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15</xdr:row>
      <xdr:rowOff>30480</xdr:rowOff>
    </xdr:from>
    <xdr:to>
      <xdr:col>15</xdr:col>
      <xdr:colOff>350520</xdr:colOff>
      <xdr:row>15</xdr:row>
      <xdr:rowOff>30480</xdr:rowOff>
    </xdr:to>
    <xdr:cxnSp macro="">
      <xdr:nvCxnSpPr>
        <xdr:cNvPr id="68726" name="Straight Connector 265">
          <a:extLst>
            <a:ext uri="{FF2B5EF4-FFF2-40B4-BE49-F238E27FC236}">
              <a16:creationId xmlns:a16="http://schemas.microsoft.com/office/drawing/2014/main" id="{D30912AC-88FF-424B-AF3C-3902DCDDAD00}"/>
            </a:ext>
          </a:extLst>
        </xdr:cNvPr>
        <xdr:cNvCxnSpPr>
          <a:cxnSpLocks noChangeShapeType="1"/>
        </xdr:cNvCxnSpPr>
      </xdr:nvCxnSpPr>
      <xdr:spPr bwMode="auto">
        <a:xfrm>
          <a:off x="7551420" y="25450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11</xdr:row>
      <xdr:rowOff>60960</xdr:rowOff>
    </xdr:from>
    <xdr:to>
      <xdr:col>15</xdr:col>
      <xdr:colOff>350520</xdr:colOff>
      <xdr:row>15</xdr:row>
      <xdr:rowOff>30480</xdr:rowOff>
    </xdr:to>
    <xdr:cxnSp macro="">
      <xdr:nvCxnSpPr>
        <xdr:cNvPr id="68727" name="Straight Connector 266">
          <a:extLst>
            <a:ext uri="{FF2B5EF4-FFF2-40B4-BE49-F238E27FC236}">
              <a16:creationId xmlns:a16="http://schemas.microsoft.com/office/drawing/2014/main" id="{B9DA0AEB-D7CA-48D1-B0EA-9A24211C4134}"/>
            </a:ext>
          </a:extLst>
        </xdr:cNvPr>
        <xdr:cNvCxnSpPr>
          <a:cxnSpLocks noChangeShapeType="1"/>
        </xdr:cNvCxnSpPr>
      </xdr:nvCxnSpPr>
      <xdr:spPr bwMode="auto">
        <a:xfrm flipV="1">
          <a:off x="7551420" y="19050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563880</xdr:colOff>
      <xdr:row>15</xdr:row>
      <xdr:rowOff>30480</xdr:rowOff>
    </xdr:from>
    <xdr:to>
      <xdr:col>15</xdr:col>
      <xdr:colOff>350520</xdr:colOff>
      <xdr:row>19</xdr:row>
      <xdr:rowOff>7620</xdr:rowOff>
    </xdr:to>
    <xdr:cxnSp macro="">
      <xdr:nvCxnSpPr>
        <xdr:cNvPr id="68728" name="Straight Connector 267">
          <a:extLst>
            <a:ext uri="{FF2B5EF4-FFF2-40B4-BE49-F238E27FC236}">
              <a16:creationId xmlns:a16="http://schemas.microsoft.com/office/drawing/2014/main" id="{515AB58E-1539-4672-8B03-C4923F738AE4}"/>
            </a:ext>
          </a:extLst>
        </xdr:cNvPr>
        <xdr:cNvCxnSpPr>
          <a:cxnSpLocks noChangeShapeType="1"/>
        </xdr:cNvCxnSpPr>
      </xdr:nvCxnSpPr>
      <xdr:spPr bwMode="auto">
        <a:xfrm>
          <a:off x="7551420" y="25450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74</xdr:row>
      <xdr:rowOff>7620</xdr:rowOff>
    </xdr:from>
    <xdr:to>
      <xdr:col>17</xdr:col>
      <xdr:colOff>350520</xdr:colOff>
      <xdr:row>74</xdr:row>
      <xdr:rowOff>7620</xdr:rowOff>
    </xdr:to>
    <xdr:cxnSp macro="">
      <xdr:nvCxnSpPr>
        <xdr:cNvPr id="68729" name="Straight Connector 268">
          <a:extLst>
            <a:ext uri="{FF2B5EF4-FFF2-40B4-BE49-F238E27FC236}">
              <a16:creationId xmlns:a16="http://schemas.microsoft.com/office/drawing/2014/main" id="{7E7032DE-5873-4A40-A431-717DBC525797}"/>
            </a:ext>
          </a:extLst>
        </xdr:cNvPr>
        <xdr:cNvCxnSpPr>
          <a:cxnSpLocks noChangeShapeType="1"/>
        </xdr:cNvCxnSpPr>
      </xdr:nvCxnSpPr>
      <xdr:spPr bwMode="auto">
        <a:xfrm>
          <a:off x="8549640" y="124129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70</xdr:row>
      <xdr:rowOff>30480</xdr:rowOff>
    </xdr:from>
    <xdr:to>
      <xdr:col>17</xdr:col>
      <xdr:colOff>350520</xdr:colOff>
      <xdr:row>74</xdr:row>
      <xdr:rowOff>7620</xdr:rowOff>
    </xdr:to>
    <xdr:cxnSp macro="">
      <xdr:nvCxnSpPr>
        <xdr:cNvPr id="68730" name="Straight Connector 269">
          <a:extLst>
            <a:ext uri="{FF2B5EF4-FFF2-40B4-BE49-F238E27FC236}">
              <a16:creationId xmlns:a16="http://schemas.microsoft.com/office/drawing/2014/main" id="{6D3A80FD-C9A3-4C8F-BB1F-E4A679E6A679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117652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74</xdr:row>
      <xdr:rowOff>7620</xdr:rowOff>
    </xdr:from>
    <xdr:to>
      <xdr:col>17</xdr:col>
      <xdr:colOff>350520</xdr:colOff>
      <xdr:row>77</xdr:row>
      <xdr:rowOff>144780</xdr:rowOff>
    </xdr:to>
    <xdr:cxnSp macro="">
      <xdr:nvCxnSpPr>
        <xdr:cNvPr id="68731" name="Straight Connector 270">
          <a:extLst>
            <a:ext uri="{FF2B5EF4-FFF2-40B4-BE49-F238E27FC236}">
              <a16:creationId xmlns:a16="http://schemas.microsoft.com/office/drawing/2014/main" id="{709CD1CE-7E86-41D2-A855-7551ED28F255}"/>
            </a:ext>
          </a:extLst>
        </xdr:cNvPr>
        <xdr:cNvCxnSpPr>
          <a:cxnSpLocks noChangeShapeType="1"/>
        </xdr:cNvCxnSpPr>
      </xdr:nvCxnSpPr>
      <xdr:spPr bwMode="auto">
        <a:xfrm>
          <a:off x="8549640" y="124129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70</xdr:row>
      <xdr:rowOff>15240</xdr:rowOff>
    </xdr:from>
    <xdr:to>
      <xdr:col>17</xdr:col>
      <xdr:colOff>350520</xdr:colOff>
      <xdr:row>70</xdr:row>
      <xdr:rowOff>15240</xdr:rowOff>
    </xdr:to>
    <xdr:cxnSp macro="">
      <xdr:nvCxnSpPr>
        <xdr:cNvPr id="68732" name="Straight Connector 271">
          <a:extLst>
            <a:ext uri="{FF2B5EF4-FFF2-40B4-BE49-F238E27FC236}">
              <a16:creationId xmlns:a16="http://schemas.microsoft.com/office/drawing/2014/main" id="{CF90A5DC-A3EA-4AB6-95A6-B0480F4B7FBF}"/>
            </a:ext>
          </a:extLst>
        </xdr:cNvPr>
        <xdr:cNvCxnSpPr>
          <a:cxnSpLocks noChangeShapeType="1"/>
        </xdr:cNvCxnSpPr>
      </xdr:nvCxnSpPr>
      <xdr:spPr bwMode="auto">
        <a:xfrm>
          <a:off x="8549640" y="117500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66</xdr:row>
      <xdr:rowOff>45720</xdr:rowOff>
    </xdr:from>
    <xdr:to>
      <xdr:col>17</xdr:col>
      <xdr:colOff>350520</xdr:colOff>
      <xdr:row>70</xdr:row>
      <xdr:rowOff>15240</xdr:rowOff>
    </xdr:to>
    <xdr:cxnSp macro="">
      <xdr:nvCxnSpPr>
        <xdr:cNvPr id="68733" name="Straight Connector 272">
          <a:extLst>
            <a:ext uri="{FF2B5EF4-FFF2-40B4-BE49-F238E27FC236}">
              <a16:creationId xmlns:a16="http://schemas.microsoft.com/office/drawing/2014/main" id="{4E0449A5-5951-446E-97B0-84B44E429E7E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111099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70</xdr:row>
      <xdr:rowOff>15240</xdr:rowOff>
    </xdr:from>
    <xdr:to>
      <xdr:col>17</xdr:col>
      <xdr:colOff>350520</xdr:colOff>
      <xdr:row>73</xdr:row>
      <xdr:rowOff>160020</xdr:rowOff>
    </xdr:to>
    <xdr:cxnSp macro="">
      <xdr:nvCxnSpPr>
        <xdr:cNvPr id="68734" name="Straight Connector 273">
          <a:extLst>
            <a:ext uri="{FF2B5EF4-FFF2-40B4-BE49-F238E27FC236}">
              <a16:creationId xmlns:a16="http://schemas.microsoft.com/office/drawing/2014/main" id="{D219D5CD-2A78-4917-BBC2-D3288B5C6253}"/>
            </a:ext>
          </a:extLst>
        </xdr:cNvPr>
        <xdr:cNvCxnSpPr>
          <a:cxnSpLocks noChangeShapeType="1"/>
        </xdr:cNvCxnSpPr>
      </xdr:nvCxnSpPr>
      <xdr:spPr bwMode="auto">
        <a:xfrm>
          <a:off x="8549640" y="117500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66</xdr:row>
      <xdr:rowOff>30480</xdr:rowOff>
    </xdr:from>
    <xdr:to>
      <xdr:col>17</xdr:col>
      <xdr:colOff>350520</xdr:colOff>
      <xdr:row>66</xdr:row>
      <xdr:rowOff>30480</xdr:rowOff>
    </xdr:to>
    <xdr:cxnSp macro="">
      <xdr:nvCxnSpPr>
        <xdr:cNvPr id="68735" name="Straight Connector 274">
          <a:extLst>
            <a:ext uri="{FF2B5EF4-FFF2-40B4-BE49-F238E27FC236}">
              <a16:creationId xmlns:a16="http://schemas.microsoft.com/office/drawing/2014/main" id="{C95527C1-1113-4F40-916F-83901EB4E46A}"/>
            </a:ext>
          </a:extLst>
        </xdr:cNvPr>
        <xdr:cNvCxnSpPr>
          <a:cxnSpLocks noChangeShapeType="1"/>
        </xdr:cNvCxnSpPr>
      </xdr:nvCxnSpPr>
      <xdr:spPr bwMode="auto">
        <a:xfrm>
          <a:off x="8549640" y="110947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62</xdr:row>
      <xdr:rowOff>60960</xdr:rowOff>
    </xdr:from>
    <xdr:to>
      <xdr:col>17</xdr:col>
      <xdr:colOff>350520</xdr:colOff>
      <xdr:row>66</xdr:row>
      <xdr:rowOff>30480</xdr:rowOff>
    </xdr:to>
    <xdr:cxnSp macro="">
      <xdr:nvCxnSpPr>
        <xdr:cNvPr id="68736" name="Straight Connector 275">
          <a:extLst>
            <a:ext uri="{FF2B5EF4-FFF2-40B4-BE49-F238E27FC236}">
              <a16:creationId xmlns:a16="http://schemas.microsoft.com/office/drawing/2014/main" id="{E790A241-D67C-4582-80B2-4DDC69BE6F4E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1045464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66</xdr:row>
      <xdr:rowOff>30480</xdr:rowOff>
    </xdr:from>
    <xdr:to>
      <xdr:col>17</xdr:col>
      <xdr:colOff>350520</xdr:colOff>
      <xdr:row>70</xdr:row>
      <xdr:rowOff>7620</xdr:rowOff>
    </xdr:to>
    <xdr:cxnSp macro="">
      <xdr:nvCxnSpPr>
        <xdr:cNvPr id="68737" name="Straight Connector 276">
          <a:extLst>
            <a:ext uri="{FF2B5EF4-FFF2-40B4-BE49-F238E27FC236}">
              <a16:creationId xmlns:a16="http://schemas.microsoft.com/office/drawing/2014/main" id="{8CF4E2AF-9E80-4A3B-B400-0C94F63432A9}"/>
            </a:ext>
          </a:extLst>
        </xdr:cNvPr>
        <xdr:cNvCxnSpPr>
          <a:cxnSpLocks noChangeShapeType="1"/>
        </xdr:cNvCxnSpPr>
      </xdr:nvCxnSpPr>
      <xdr:spPr bwMode="auto">
        <a:xfrm>
          <a:off x="8549640" y="110947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62</xdr:row>
      <xdr:rowOff>45720</xdr:rowOff>
    </xdr:from>
    <xdr:to>
      <xdr:col>17</xdr:col>
      <xdr:colOff>350520</xdr:colOff>
      <xdr:row>62</xdr:row>
      <xdr:rowOff>45720</xdr:rowOff>
    </xdr:to>
    <xdr:cxnSp macro="">
      <xdr:nvCxnSpPr>
        <xdr:cNvPr id="68738" name="Straight Connector 277">
          <a:extLst>
            <a:ext uri="{FF2B5EF4-FFF2-40B4-BE49-F238E27FC236}">
              <a16:creationId xmlns:a16="http://schemas.microsoft.com/office/drawing/2014/main" id="{9B17786E-8FB6-4EF6-A1F0-380643816386}"/>
            </a:ext>
          </a:extLst>
        </xdr:cNvPr>
        <xdr:cNvCxnSpPr>
          <a:cxnSpLocks noChangeShapeType="1"/>
        </xdr:cNvCxnSpPr>
      </xdr:nvCxnSpPr>
      <xdr:spPr bwMode="auto">
        <a:xfrm>
          <a:off x="8549640" y="104394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58</xdr:row>
      <xdr:rowOff>68580</xdr:rowOff>
    </xdr:from>
    <xdr:to>
      <xdr:col>17</xdr:col>
      <xdr:colOff>350520</xdr:colOff>
      <xdr:row>62</xdr:row>
      <xdr:rowOff>45720</xdr:rowOff>
    </xdr:to>
    <xdr:cxnSp macro="">
      <xdr:nvCxnSpPr>
        <xdr:cNvPr id="68739" name="Straight Connector 278">
          <a:extLst>
            <a:ext uri="{FF2B5EF4-FFF2-40B4-BE49-F238E27FC236}">
              <a16:creationId xmlns:a16="http://schemas.microsoft.com/office/drawing/2014/main" id="{58CC3F31-978F-49D8-B4B6-26EFB719FD41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97917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62</xdr:row>
      <xdr:rowOff>45720</xdr:rowOff>
    </xdr:from>
    <xdr:to>
      <xdr:col>17</xdr:col>
      <xdr:colOff>350520</xdr:colOff>
      <xdr:row>66</xdr:row>
      <xdr:rowOff>15240</xdr:rowOff>
    </xdr:to>
    <xdr:cxnSp macro="">
      <xdr:nvCxnSpPr>
        <xdr:cNvPr id="68740" name="Straight Connector 279">
          <a:extLst>
            <a:ext uri="{FF2B5EF4-FFF2-40B4-BE49-F238E27FC236}">
              <a16:creationId xmlns:a16="http://schemas.microsoft.com/office/drawing/2014/main" id="{8964273A-17AF-4E92-8672-66D154997CDA}"/>
            </a:ext>
          </a:extLst>
        </xdr:cNvPr>
        <xdr:cNvCxnSpPr>
          <a:cxnSpLocks noChangeShapeType="1"/>
        </xdr:cNvCxnSpPr>
      </xdr:nvCxnSpPr>
      <xdr:spPr bwMode="auto">
        <a:xfrm>
          <a:off x="8549640" y="104394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58</xdr:row>
      <xdr:rowOff>60960</xdr:rowOff>
    </xdr:from>
    <xdr:to>
      <xdr:col>17</xdr:col>
      <xdr:colOff>350520</xdr:colOff>
      <xdr:row>58</xdr:row>
      <xdr:rowOff>60960</xdr:rowOff>
    </xdr:to>
    <xdr:cxnSp macro="">
      <xdr:nvCxnSpPr>
        <xdr:cNvPr id="68741" name="Straight Connector 280">
          <a:extLst>
            <a:ext uri="{FF2B5EF4-FFF2-40B4-BE49-F238E27FC236}">
              <a16:creationId xmlns:a16="http://schemas.microsoft.com/office/drawing/2014/main" id="{70818150-09CD-4BB9-9228-B121C3072EB6}"/>
            </a:ext>
          </a:extLst>
        </xdr:cNvPr>
        <xdr:cNvCxnSpPr>
          <a:cxnSpLocks noChangeShapeType="1"/>
        </xdr:cNvCxnSpPr>
      </xdr:nvCxnSpPr>
      <xdr:spPr bwMode="auto">
        <a:xfrm>
          <a:off x="8549640" y="97840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54</xdr:row>
      <xdr:rowOff>83820</xdr:rowOff>
    </xdr:from>
    <xdr:to>
      <xdr:col>17</xdr:col>
      <xdr:colOff>350520</xdr:colOff>
      <xdr:row>58</xdr:row>
      <xdr:rowOff>60960</xdr:rowOff>
    </xdr:to>
    <xdr:cxnSp macro="">
      <xdr:nvCxnSpPr>
        <xdr:cNvPr id="68742" name="Straight Connector 281">
          <a:extLst>
            <a:ext uri="{FF2B5EF4-FFF2-40B4-BE49-F238E27FC236}">
              <a16:creationId xmlns:a16="http://schemas.microsoft.com/office/drawing/2014/main" id="{F1943388-7DEF-4856-ABBB-BD32A414C220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91363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58</xdr:row>
      <xdr:rowOff>60960</xdr:rowOff>
    </xdr:from>
    <xdr:to>
      <xdr:col>17</xdr:col>
      <xdr:colOff>350520</xdr:colOff>
      <xdr:row>62</xdr:row>
      <xdr:rowOff>30480</xdr:rowOff>
    </xdr:to>
    <xdr:cxnSp macro="">
      <xdr:nvCxnSpPr>
        <xdr:cNvPr id="68743" name="Straight Connector 282">
          <a:extLst>
            <a:ext uri="{FF2B5EF4-FFF2-40B4-BE49-F238E27FC236}">
              <a16:creationId xmlns:a16="http://schemas.microsoft.com/office/drawing/2014/main" id="{90C80DCD-F8D4-4273-987E-989E8EFE6B85}"/>
            </a:ext>
          </a:extLst>
        </xdr:cNvPr>
        <xdr:cNvCxnSpPr>
          <a:cxnSpLocks noChangeShapeType="1"/>
        </xdr:cNvCxnSpPr>
      </xdr:nvCxnSpPr>
      <xdr:spPr bwMode="auto">
        <a:xfrm>
          <a:off x="8549640" y="97840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54</xdr:row>
      <xdr:rowOff>68580</xdr:rowOff>
    </xdr:from>
    <xdr:to>
      <xdr:col>17</xdr:col>
      <xdr:colOff>350520</xdr:colOff>
      <xdr:row>54</xdr:row>
      <xdr:rowOff>68580</xdr:rowOff>
    </xdr:to>
    <xdr:cxnSp macro="">
      <xdr:nvCxnSpPr>
        <xdr:cNvPr id="68744" name="Straight Connector 283">
          <a:extLst>
            <a:ext uri="{FF2B5EF4-FFF2-40B4-BE49-F238E27FC236}">
              <a16:creationId xmlns:a16="http://schemas.microsoft.com/office/drawing/2014/main" id="{41121BFF-1C7A-454B-ABD2-9DF9F3DC6A8D}"/>
            </a:ext>
          </a:extLst>
        </xdr:cNvPr>
        <xdr:cNvCxnSpPr>
          <a:cxnSpLocks noChangeShapeType="1"/>
        </xdr:cNvCxnSpPr>
      </xdr:nvCxnSpPr>
      <xdr:spPr bwMode="auto">
        <a:xfrm>
          <a:off x="8549640" y="91211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50</xdr:row>
      <xdr:rowOff>99060</xdr:rowOff>
    </xdr:from>
    <xdr:to>
      <xdr:col>17</xdr:col>
      <xdr:colOff>350520</xdr:colOff>
      <xdr:row>54</xdr:row>
      <xdr:rowOff>68580</xdr:rowOff>
    </xdr:to>
    <xdr:cxnSp macro="">
      <xdr:nvCxnSpPr>
        <xdr:cNvPr id="68745" name="Straight Connector 284">
          <a:extLst>
            <a:ext uri="{FF2B5EF4-FFF2-40B4-BE49-F238E27FC236}">
              <a16:creationId xmlns:a16="http://schemas.microsoft.com/office/drawing/2014/main" id="{4F320D32-9CFF-4D33-8AC6-488BB541E432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84810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54</xdr:row>
      <xdr:rowOff>68580</xdr:rowOff>
    </xdr:from>
    <xdr:to>
      <xdr:col>17</xdr:col>
      <xdr:colOff>350520</xdr:colOff>
      <xdr:row>58</xdr:row>
      <xdr:rowOff>45720</xdr:rowOff>
    </xdr:to>
    <xdr:cxnSp macro="">
      <xdr:nvCxnSpPr>
        <xdr:cNvPr id="68746" name="Straight Connector 285">
          <a:extLst>
            <a:ext uri="{FF2B5EF4-FFF2-40B4-BE49-F238E27FC236}">
              <a16:creationId xmlns:a16="http://schemas.microsoft.com/office/drawing/2014/main" id="{80B22804-A55C-4314-B012-9257A46C5B46}"/>
            </a:ext>
          </a:extLst>
        </xdr:cNvPr>
        <xdr:cNvCxnSpPr>
          <a:cxnSpLocks noChangeShapeType="1"/>
        </xdr:cNvCxnSpPr>
      </xdr:nvCxnSpPr>
      <xdr:spPr bwMode="auto">
        <a:xfrm>
          <a:off x="8549640" y="91211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50</xdr:row>
      <xdr:rowOff>83820</xdr:rowOff>
    </xdr:from>
    <xdr:to>
      <xdr:col>17</xdr:col>
      <xdr:colOff>350520</xdr:colOff>
      <xdr:row>50</xdr:row>
      <xdr:rowOff>83820</xdr:rowOff>
    </xdr:to>
    <xdr:cxnSp macro="">
      <xdr:nvCxnSpPr>
        <xdr:cNvPr id="68747" name="Straight Connector 286">
          <a:extLst>
            <a:ext uri="{FF2B5EF4-FFF2-40B4-BE49-F238E27FC236}">
              <a16:creationId xmlns:a16="http://schemas.microsoft.com/office/drawing/2014/main" id="{377D5938-0DDA-4046-B65C-BCAE90721750}"/>
            </a:ext>
          </a:extLst>
        </xdr:cNvPr>
        <xdr:cNvCxnSpPr>
          <a:cxnSpLocks noChangeShapeType="1"/>
        </xdr:cNvCxnSpPr>
      </xdr:nvCxnSpPr>
      <xdr:spPr bwMode="auto">
        <a:xfrm>
          <a:off x="8549640" y="84658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46</xdr:row>
      <xdr:rowOff>106680</xdr:rowOff>
    </xdr:from>
    <xdr:to>
      <xdr:col>17</xdr:col>
      <xdr:colOff>350520</xdr:colOff>
      <xdr:row>50</xdr:row>
      <xdr:rowOff>83820</xdr:rowOff>
    </xdr:to>
    <xdr:cxnSp macro="">
      <xdr:nvCxnSpPr>
        <xdr:cNvPr id="68748" name="Straight Connector 287">
          <a:extLst>
            <a:ext uri="{FF2B5EF4-FFF2-40B4-BE49-F238E27FC236}">
              <a16:creationId xmlns:a16="http://schemas.microsoft.com/office/drawing/2014/main" id="{3C53C634-804C-40F1-AD72-61D3F952EA52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78181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50</xdr:row>
      <xdr:rowOff>83820</xdr:rowOff>
    </xdr:from>
    <xdr:to>
      <xdr:col>17</xdr:col>
      <xdr:colOff>350520</xdr:colOff>
      <xdr:row>54</xdr:row>
      <xdr:rowOff>60960</xdr:rowOff>
    </xdr:to>
    <xdr:cxnSp macro="">
      <xdr:nvCxnSpPr>
        <xdr:cNvPr id="68749" name="Straight Connector 288">
          <a:extLst>
            <a:ext uri="{FF2B5EF4-FFF2-40B4-BE49-F238E27FC236}">
              <a16:creationId xmlns:a16="http://schemas.microsoft.com/office/drawing/2014/main" id="{57D7182B-47DA-4251-B4C4-AE52AE360529}"/>
            </a:ext>
          </a:extLst>
        </xdr:cNvPr>
        <xdr:cNvCxnSpPr>
          <a:cxnSpLocks noChangeShapeType="1"/>
        </xdr:cNvCxnSpPr>
      </xdr:nvCxnSpPr>
      <xdr:spPr bwMode="auto">
        <a:xfrm>
          <a:off x="8549640" y="84658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46</xdr:row>
      <xdr:rowOff>99060</xdr:rowOff>
    </xdr:from>
    <xdr:to>
      <xdr:col>17</xdr:col>
      <xdr:colOff>350520</xdr:colOff>
      <xdr:row>46</xdr:row>
      <xdr:rowOff>99060</xdr:rowOff>
    </xdr:to>
    <xdr:cxnSp macro="">
      <xdr:nvCxnSpPr>
        <xdr:cNvPr id="68750" name="Straight Connector 289">
          <a:extLst>
            <a:ext uri="{FF2B5EF4-FFF2-40B4-BE49-F238E27FC236}">
              <a16:creationId xmlns:a16="http://schemas.microsoft.com/office/drawing/2014/main" id="{746C8B0A-24F4-4F0A-8B19-C5E8A22A2DB5}"/>
            </a:ext>
          </a:extLst>
        </xdr:cNvPr>
        <xdr:cNvCxnSpPr>
          <a:cxnSpLocks noChangeShapeType="1"/>
        </xdr:cNvCxnSpPr>
      </xdr:nvCxnSpPr>
      <xdr:spPr bwMode="auto">
        <a:xfrm>
          <a:off x="8549640" y="78105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42</xdr:row>
      <xdr:rowOff>121920</xdr:rowOff>
    </xdr:from>
    <xdr:to>
      <xdr:col>17</xdr:col>
      <xdr:colOff>350520</xdr:colOff>
      <xdr:row>46</xdr:row>
      <xdr:rowOff>99060</xdr:rowOff>
    </xdr:to>
    <xdr:cxnSp macro="">
      <xdr:nvCxnSpPr>
        <xdr:cNvPr id="68751" name="Straight Connector 290">
          <a:extLst>
            <a:ext uri="{FF2B5EF4-FFF2-40B4-BE49-F238E27FC236}">
              <a16:creationId xmlns:a16="http://schemas.microsoft.com/office/drawing/2014/main" id="{8A545A91-ECD6-4E95-BE37-2E640077E227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71628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46</xdr:row>
      <xdr:rowOff>99060</xdr:rowOff>
    </xdr:from>
    <xdr:to>
      <xdr:col>17</xdr:col>
      <xdr:colOff>350520</xdr:colOff>
      <xdr:row>50</xdr:row>
      <xdr:rowOff>68580</xdr:rowOff>
    </xdr:to>
    <xdr:cxnSp macro="">
      <xdr:nvCxnSpPr>
        <xdr:cNvPr id="68752" name="Straight Connector 291">
          <a:extLst>
            <a:ext uri="{FF2B5EF4-FFF2-40B4-BE49-F238E27FC236}">
              <a16:creationId xmlns:a16="http://schemas.microsoft.com/office/drawing/2014/main" id="{D7B35BDB-5B97-4388-888B-8D2C9513E9AC}"/>
            </a:ext>
          </a:extLst>
        </xdr:cNvPr>
        <xdr:cNvCxnSpPr>
          <a:cxnSpLocks noChangeShapeType="1"/>
        </xdr:cNvCxnSpPr>
      </xdr:nvCxnSpPr>
      <xdr:spPr bwMode="auto">
        <a:xfrm>
          <a:off x="8549640" y="78105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42</xdr:row>
      <xdr:rowOff>106680</xdr:rowOff>
    </xdr:from>
    <xdr:to>
      <xdr:col>17</xdr:col>
      <xdr:colOff>350520</xdr:colOff>
      <xdr:row>42</xdr:row>
      <xdr:rowOff>106680</xdr:rowOff>
    </xdr:to>
    <xdr:cxnSp macro="">
      <xdr:nvCxnSpPr>
        <xdr:cNvPr id="68753" name="Straight Connector 292">
          <a:extLst>
            <a:ext uri="{FF2B5EF4-FFF2-40B4-BE49-F238E27FC236}">
              <a16:creationId xmlns:a16="http://schemas.microsoft.com/office/drawing/2014/main" id="{A0661F38-DAA1-46FC-AD9E-73294972F735}"/>
            </a:ext>
          </a:extLst>
        </xdr:cNvPr>
        <xdr:cNvCxnSpPr>
          <a:cxnSpLocks noChangeShapeType="1"/>
        </xdr:cNvCxnSpPr>
      </xdr:nvCxnSpPr>
      <xdr:spPr bwMode="auto">
        <a:xfrm>
          <a:off x="8549640" y="71475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38</xdr:row>
      <xdr:rowOff>137160</xdr:rowOff>
    </xdr:from>
    <xdr:to>
      <xdr:col>17</xdr:col>
      <xdr:colOff>350520</xdr:colOff>
      <xdr:row>42</xdr:row>
      <xdr:rowOff>106680</xdr:rowOff>
    </xdr:to>
    <xdr:cxnSp macro="">
      <xdr:nvCxnSpPr>
        <xdr:cNvPr id="68754" name="Straight Connector 293">
          <a:extLst>
            <a:ext uri="{FF2B5EF4-FFF2-40B4-BE49-F238E27FC236}">
              <a16:creationId xmlns:a16="http://schemas.microsoft.com/office/drawing/2014/main" id="{FEC2C718-E2DE-4567-BD78-5B9E4FC3E5B9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650748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42</xdr:row>
      <xdr:rowOff>106680</xdr:rowOff>
    </xdr:from>
    <xdr:to>
      <xdr:col>17</xdr:col>
      <xdr:colOff>350520</xdr:colOff>
      <xdr:row>46</xdr:row>
      <xdr:rowOff>83820</xdr:rowOff>
    </xdr:to>
    <xdr:cxnSp macro="">
      <xdr:nvCxnSpPr>
        <xdr:cNvPr id="68755" name="Straight Connector 294">
          <a:extLst>
            <a:ext uri="{FF2B5EF4-FFF2-40B4-BE49-F238E27FC236}">
              <a16:creationId xmlns:a16="http://schemas.microsoft.com/office/drawing/2014/main" id="{9AF8F195-A380-4AD5-AABC-2D87B9633DDC}"/>
            </a:ext>
          </a:extLst>
        </xdr:cNvPr>
        <xdr:cNvCxnSpPr>
          <a:cxnSpLocks noChangeShapeType="1"/>
        </xdr:cNvCxnSpPr>
      </xdr:nvCxnSpPr>
      <xdr:spPr bwMode="auto">
        <a:xfrm>
          <a:off x="8549640" y="71475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38</xdr:row>
      <xdr:rowOff>121920</xdr:rowOff>
    </xdr:from>
    <xdr:to>
      <xdr:col>17</xdr:col>
      <xdr:colOff>350520</xdr:colOff>
      <xdr:row>38</xdr:row>
      <xdr:rowOff>121920</xdr:rowOff>
    </xdr:to>
    <xdr:cxnSp macro="">
      <xdr:nvCxnSpPr>
        <xdr:cNvPr id="68756" name="Straight Connector 295">
          <a:extLst>
            <a:ext uri="{FF2B5EF4-FFF2-40B4-BE49-F238E27FC236}">
              <a16:creationId xmlns:a16="http://schemas.microsoft.com/office/drawing/2014/main" id="{79809E21-9BC0-445E-8278-E8BDF4EF7BEA}"/>
            </a:ext>
          </a:extLst>
        </xdr:cNvPr>
        <xdr:cNvCxnSpPr>
          <a:cxnSpLocks noChangeShapeType="1"/>
        </xdr:cNvCxnSpPr>
      </xdr:nvCxnSpPr>
      <xdr:spPr bwMode="auto">
        <a:xfrm>
          <a:off x="8549640" y="64922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34</xdr:row>
      <xdr:rowOff>144780</xdr:rowOff>
    </xdr:from>
    <xdr:to>
      <xdr:col>17</xdr:col>
      <xdr:colOff>350520</xdr:colOff>
      <xdr:row>38</xdr:row>
      <xdr:rowOff>121920</xdr:rowOff>
    </xdr:to>
    <xdr:cxnSp macro="">
      <xdr:nvCxnSpPr>
        <xdr:cNvPr id="68757" name="Straight Connector 296">
          <a:extLst>
            <a:ext uri="{FF2B5EF4-FFF2-40B4-BE49-F238E27FC236}">
              <a16:creationId xmlns:a16="http://schemas.microsoft.com/office/drawing/2014/main" id="{1E4B0027-9EE1-45F5-9EDE-D574E07355F5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58445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38</xdr:row>
      <xdr:rowOff>121920</xdr:rowOff>
    </xdr:from>
    <xdr:to>
      <xdr:col>17</xdr:col>
      <xdr:colOff>350520</xdr:colOff>
      <xdr:row>42</xdr:row>
      <xdr:rowOff>99060</xdr:rowOff>
    </xdr:to>
    <xdr:cxnSp macro="">
      <xdr:nvCxnSpPr>
        <xdr:cNvPr id="68758" name="Straight Connector 297">
          <a:extLst>
            <a:ext uri="{FF2B5EF4-FFF2-40B4-BE49-F238E27FC236}">
              <a16:creationId xmlns:a16="http://schemas.microsoft.com/office/drawing/2014/main" id="{84DD5FA3-47F8-437A-8A66-A32A04896483}"/>
            </a:ext>
          </a:extLst>
        </xdr:cNvPr>
        <xdr:cNvCxnSpPr>
          <a:cxnSpLocks noChangeShapeType="1"/>
        </xdr:cNvCxnSpPr>
      </xdr:nvCxnSpPr>
      <xdr:spPr bwMode="auto">
        <a:xfrm>
          <a:off x="8549640" y="64922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34</xdr:row>
      <xdr:rowOff>137160</xdr:rowOff>
    </xdr:from>
    <xdr:to>
      <xdr:col>17</xdr:col>
      <xdr:colOff>350520</xdr:colOff>
      <xdr:row>34</xdr:row>
      <xdr:rowOff>137160</xdr:rowOff>
    </xdr:to>
    <xdr:cxnSp macro="">
      <xdr:nvCxnSpPr>
        <xdr:cNvPr id="68759" name="Straight Connector 298">
          <a:extLst>
            <a:ext uri="{FF2B5EF4-FFF2-40B4-BE49-F238E27FC236}">
              <a16:creationId xmlns:a16="http://schemas.microsoft.com/office/drawing/2014/main" id="{530C6BA7-707C-4EED-A70E-BC609EF0432D}"/>
            </a:ext>
          </a:extLst>
        </xdr:cNvPr>
        <xdr:cNvCxnSpPr>
          <a:cxnSpLocks noChangeShapeType="1"/>
        </xdr:cNvCxnSpPr>
      </xdr:nvCxnSpPr>
      <xdr:spPr bwMode="auto">
        <a:xfrm>
          <a:off x="8549640" y="583692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30</xdr:row>
      <xdr:rowOff>160020</xdr:rowOff>
    </xdr:from>
    <xdr:to>
      <xdr:col>17</xdr:col>
      <xdr:colOff>350520</xdr:colOff>
      <xdr:row>34</xdr:row>
      <xdr:rowOff>137160</xdr:rowOff>
    </xdr:to>
    <xdr:cxnSp macro="">
      <xdr:nvCxnSpPr>
        <xdr:cNvPr id="68760" name="Straight Connector 299">
          <a:extLst>
            <a:ext uri="{FF2B5EF4-FFF2-40B4-BE49-F238E27FC236}">
              <a16:creationId xmlns:a16="http://schemas.microsoft.com/office/drawing/2014/main" id="{79090AD0-CD70-4A60-AA93-91B75D81C869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518922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34</xdr:row>
      <xdr:rowOff>137160</xdr:rowOff>
    </xdr:from>
    <xdr:to>
      <xdr:col>17</xdr:col>
      <xdr:colOff>350520</xdr:colOff>
      <xdr:row>38</xdr:row>
      <xdr:rowOff>106680</xdr:rowOff>
    </xdr:to>
    <xdr:cxnSp macro="">
      <xdr:nvCxnSpPr>
        <xdr:cNvPr id="68761" name="Straight Connector 300">
          <a:extLst>
            <a:ext uri="{FF2B5EF4-FFF2-40B4-BE49-F238E27FC236}">
              <a16:creationId xmlns:a16="http://schemas.microsoft.com/office/drawing/2014/main" id="{EAE8A3AB-DEA5-4998-8BE8-BB7F992B7CFC}"/>
            </a:ext>
          </a:extLst>
        </xdr:cNvPr>
        <xdr:cNvCxnSpPr>
          <a:cxnSpLocks noChangeShapeType="1"/>
        </xdr:cNvCxnSpPr>
      </xdr:nvCxnSpPr>
      <xdr:spPr bwMode="auto">
        <a:xfrm>
          <a:off x="8549640" y="58369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30</xdr:row>
      <xdr:rowOff>144780</xdr:rowOff>
    </xdr:from>
    <xdr:to>
      <xdr:col>17</xdr:col>
      <xdr:colOff>350520</xdr:colOff>
      <xdr:row>30</xdr:row>
      <xdr:rowOff>144780</xdr:rowOff>
    </xdr:to>
    <xdr:cxnSp macro="">
      <xdr:nvCxnSpPr>
        <xdr:cNvPr id="68762" name="Straight Connector 301">
          <a:extLst>
            <a:ext uri="{FF2B5EF4-FFF2-40B4-BE49-F238E27FC236}">
              <a16:creationId xmlns:a16="http://schemas.microsoft.com/office/drawing/2014/main" id="{A9E59B51-A0A1-4CA1-B231-1CBFFC93B465}"/>
            </a:ext>
          </a:extLst>
        </xdr:cNvPr>
        <xdr:cNvCxnSpPr>
          <a:cxnSpLocks noChangeShapeType="1"/>
        </xdr:cNvCxnSpPr>
      </xdr:nvCxnSpPr>
      <xdr:spPr bwMode="auto">
        <a:xfrm>
          <a:off x="8549640" y="51739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27</xdr:row>
      <xdr:rowOff>7620</xdr:rowOff>
    </xdr:from>
    <xdr:to>
      <xdr:col>17</xdr:col>
      <xdr:colOff>350520</xdr:colOff>
      <xdr:row>30</xdr:row>
      <xdr:rowOff>144780</xdr:rowOff>
    </xdr:to>
    <xdr:cxnSp macro="">
      <xdr:nvCxnSpPr>
        <xdr:cNvPr id="68763" name="Straight Connector 302">
          <a:extLst>
            <a:ext uri="{FF2B5EF4-FFF2-40B4-BE49-F238E27FC236}">
              <a16:creationId xmlns:a16="http://schemas.microsoft.com/office/drawing/2014/main" id="{BB57E437-D390-4DD3-9C1D-E199AFCE4F98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45339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30</xdr:row>
      <xdr:rowOff>144780</xdr:rowOff>
    </xdr:from>
    <xdr:to>
      <xdr:col>17</xdr:col>
      <xdr:colOff>350520</xdr:colOff>
      <xdr:row>34</xdr:row>
      <xdr:rowOff>121920</xdr:rowOff>
    </xdr:to>
    <xdr:cxnSp macro="">
      <xdr:nvCxnSpPr>
        <xdr:cNvPr id="68764" name="Straight Connector 303">
          <a:extLst>
            <a:ext uri="{FF2B5EF4-FFF2-40B4-BE49-F238E27FC236}">
              <a16:creationId xmlns:a16="http://schemas.microsoft.com/office/drawing/2014/main" id="{47FEDFCE-8144-4B00-A4DC-173E0BBDF26A}"/>
            </a:ext>
          </a:extLst>
        </xdr:cNvPr>
        <xdr:cNvCxnSpPr>
          <a:cxnSpLocks noChangeShapeType="1"/>
        </xdr:cNvCxnSpPr>
      </xdr:nvCxnSpPr>
      <xdr:spPr bwMode="auto">
        <a:xfrm>
          <a:off x="8549640" y="51739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26</xdr:row>
      <xdr:rowOff>160020</xdr:rowOff>
    </xdr:from>
    <xdr:to>
      <xdr:col>17</xdr:col>
      <xdr:colOff>350520</xdr:colOff>
      <xdr:row>26</xdr:row>
      <xdr:rowOff>160020</xdr:rowOff>
    </xdr:to>
    <xdr:cxnSp macro="">
      <xdr:nvCxnSpPr>
        <xdr:cNvPr id="68765" name="Straight Connector 304">
          <a:extLst>
            <a:ext uri="{FF2B5EF4-FFF2-40B4-BE49-F238E27FC236}">
              <a16:creationId xmlns:a16="http://schemas.microsoft.com/office/drawing/2014/main" id="{3F1EAE2F-D906-4C23-AFC8-9AD1774CD066}"/>
            </a:ext>
          </a:extLst>
        </xdr:cNvPr>
        <xdr:cNvCxnSpPr>
          <a:cxnSpLocks noChangeShapeType="1"/>
        </xdr:cNvCxnSpPr>
      </xdr:nvCxnSpPr>
      <xdr:spPr bwMode="auto">
        <a:xfrm>
          <a:off x="8549640" y="45186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23</xdr:row>
      <xdr:rowOff>15240</xdr:rowOff>
    </xdr:from>
    <xdr:to>
      <xdr:col>17</xdr:col>
      <xdr:colOff>350520</xdr:colOff>
      <xdr:row>26</xdr:row>
      <xdr:rowOff>160020</xdr:rowOff>
    </xdr:to>
    <xdr:cxnSp macro="">
      <xdr:nvCxnSpPr>
        <xdr:cNvPr id="68766" name="Straight Connector 305">
          <a:extLst>
            <a:ext uri="{FF2B5EF4-FFF2-40B4-BE49-F238E27FC236}">
              <a16:creationId xmlns:a16="http://schemas.microsoft.com/office/drawing/2014/main" id="{3AB46972-6383-4F23-A37B-806D03BF98B0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38709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26</xdr:row>
      <xdr:rowOff>160020</xdr:rowOff>
    </xdr:from>
    <xdr:to>
      <xdr:col>17</xdr:col>
      <xdr:colOff>350520</xdr:colOff>
      <xdr:row>30</xdr:row>
      <xdr:rowOff>137160</xdr:rowOff>
    </xdr:to>
    <xdr:cxnSp macro="">
      <xdr:nvCxnSpPr>
        <xdr:cNvPr id="68767" name="Straight Connector 306">
          <a:extLst>
            <a:ext uri="{FF2B5EF4-FFF2-40B4-BE49-F238E27FC236}">
              <a16:creationId xmlns:a16="http://schemas.microsoft.com/office/drawing/2014/main" id="{A6CD1903-A434-469E-807A-5AE9D116070A}"/>
            </a:ext>
          </a:extLst>
        </xdr:cNvPr>
        <xdr:cNvCxnSpPr>
          <a:cxnSpLocks noChangeShapeType="1"/>
        </xdr:cNvCxnSpPr>
      </xdr:nvCxnSpPr>
      <xdr:spPr bwMode="auto">
        <a:xfrm>
          <a:off x="8549640" y="45186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23</xdr:row>
      <xdr:rowOff>7620</xdr:rowOff>
    </xdr:from>
    <xdr:to>
      <xdr:col>17</xdr:col>
      <xdr:colOff>350520</xdr:colOff>
      <xdr:row>23</xdr:row>
      <xdr:rowOff>7620</xdr:rowOff>
    </xdr:to>
    <xdr:cxnSp macro="">
      <xdr:nvCxnSpPr>
        <xdr:cNvPr id="68768" name="Straight Connector 307">
          <a:extLst>
            <a:ext uri="{FF2B5EF4-FFF2-40B4-BE49-F238E27FC236}">
              <a16:creationId xmlns:a16="http://schemas.microsoft.com/office/drawing/2014/main" id="{1065A99C-3541-464E-A468-6CCA6ECAD696}"/>
            </a:ext>
          </a:extLst>
        </xdr:cNvPr>
        <xdr:cNvCxnSpPr>
          <a:cxnSpLocks noChangeShapeType="1"/>
        </xdr:cNvCxnSpPr>
      </xdr:nvCxnSpPr>
      <xdr:spPr bwMode="auto">
        <a:xfrm>
          <a:off x="8549640" y="386334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19</xdr:row>
      <xdr:rowOff>30480</xdr:rowOff>
    </xdr:from>
    <xdr:to>
      <xdr:col>17</xdr:col>
      <xdr:colOff>350520</xdr:colOff>
      <xdr:row>23</xdr:row>
      <xdr:rowOff>7620</xdr:rowOff>
    </xdr:to>
    <xdr:cxnSp macro="">
      <xdr:nvCxnSpPr>
        <xdr:cNvPr id="68769" name="Straight Connector 308">
          <a:extLst>
            <a:ext uri="{FF2B5EF4-FFF2-40B4-BE49-F238E27FC236}">
              <a16:creationId xmlns:a16="http://schemas.microsoft.com/office/drawing/2014/main" id="{39F175C0-C06D-4EF8-A132-A122B163C99B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321564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23</xdr:row>
      <xdr:rowOff>7620</xdr:rowOff>
    </xdr:from>
    <xdr:to>
      <xdr:col>17</xdr:col>
      <xdr:colOff>350520</xdr:colOff>
      <xdr:row>26</xdr:row>
      <xdr:rowOff>144780</xdr:rowOff>
    </xdr:to>
    <xdr:cxnSp macro="">
      <xdr:nvCxnSpPr>
        <xdr:cNvPr id="68770" name="Straight Connector 309">
          <a:extLst>
            <a:ext uri="{FF2B5EF4-FFF2-40B4-BE49-F238E27FC236}">
              <a16:creationId xmlns:a16="http://schemas.microsoft.com/office/drawing/2014/main" id="{1DA85D36-5AA3-448B-B808-888C8BCE1C8D}"/>
            </a:ext>
          </a:extLst>
        </xdr:cNvPr>
        <xdr:cNvCxnSpPr>
          <a:cxnSpLocks noChangeShapeType="1"/>
        </xdr:cNvCxnSpPr>
      </xdr:nvCxnSpPr>
      <xdr:spPr bwMode="auto">
        <a:xfrm>
          <a:off x="8549640" y="386334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19</xdr:row>
      <xdr:rowOff>15240</xdr:rowOff>
    </xdr:from>
    <xdr:to>
      <xdr:col>17</xdr:col>
      <xdr:colOff>350520</xdr:colOff>
      <xdr:row>19</xdr:row>
      <xdr:rowOff>15240</xdr:rowOff>
    </xdr:to>
    <xdr:cxnSp macro="">
      <xdr:nvCxnSpPr>
        <xdr:cNvPr id="68771" name="Straight Connector 310">
          <a:extLst>
            <a:ext uri="{FF2B5EF4-FFF2-40B4-BE49-F238E27FC236}">
              <a16:creationId xmlns:a16="http://schemas.microsoft.com/office/drawing/2014/main" id="{28B264EA-9D3C-4600-9D27-6DF30B818425}"/>
            </a:ext>
          </a:extLst>
        </xdr:cNvPr>
        <xdr:cNvCxnSpPr>
          <a:cxnSpLocks noChangeShapeType="1"/>
        </xdr:cNvCxnSpPr>
      </xdr:nvCxnSpPr>
      <xdr:spPr bwMode="auto">
        <a:xfrm>
          <a:off x="8549640" y="320040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15</xdr:row>
      <xdr:rowOff>45720</xdr:rowOff>
    </xdr:from>
    <xdr:to>
      <xdr:col>17</xdr:col>
      <xdr:colOff>350520</xdr:colOff>
      <xdr:row>19</xdr:row>
      <xdr:rowOff>15240</xdr:rowOff>
    </xdr:to>
    <xdr:cxnSp macro="">
      <xdr:nvCxnSpPr>
        <xdr:cNvPr id="68772" name="Straight Connector 311">
          <a:extLst>
            <a:ext uri="{FF2B5EF4-FFF2-40B4-BE49-F238E27FC236}">
              <a16:creationId xmlns:a16="http://schemas.microsoft.com/office/drawing/2014/main" id="{EE709C30-AEE8-4F53-8008-063FF77E2A63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256032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19</xdr:row>
      <xdr:rowOff>15240</xdr:rowOff>
    </xdr:from>
    <xdr:to>
      <xdr:col>17</xdr:col>
      <xdr:colOff>350520</xdr:colOff>
      <xdr:row>22</xdr:row>
      <xdr:rowOff>160020</xdr:rowOff>
    </xdr:to>
    <xdr:cxnSp macro="">
      <xdr:nvCxnSpPr>
        <xdr:cNvPr id="68773" name="Straight Connector 312">
          <a:extLst>
            <a:ext uri="{FF2B5EF4-FFF2-40B4-BE49-F238E27FC236}">
              <a16:creationId xmlns:a16="http://schemas.microsoft.com/office/drawing/2014/main" id="{72F9AD7D-2F66-4CDE-8651-E44B19423482}"/>
            </a:ext>
          </a:extLst>
        </xdr:cNvPr>
        <xdr:cNvCxnSpPr>
          <a:cxnSpLocks noChangeShapeType="1"/>
        </xdr:cNvCxnSpPr>
      </xdr:nvCxnSpPr>
      <xdr:spPr bwMode="auto">
        <a:xfrm>
          <a:off x="8549640" y="320040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15</xdr:row>
      <xdr:rowOff>30480</xdr:rowOff>
    </xdr:from>
    <xdr:to>
      <xdr:col>17</xdr:col>
      <xdr:colOff>350520</xdr:colOff>
      <xdr:row>15</xdr:row>
      <xdr:rowOff>30480</xdr:rowOff>
    </xdr:to>
    <xdr:cxnSp macro="">
      <xdr:nvCxnSpPr>
        <xdr:cNvPr id="68774" name="Straight Connector 313">
          <a:extLst>
            <a:ext uri="{FF2B5EF4-FFF2-40B4-BE49-F238E27FC236}">
              <a16:creationId xmlns:a16="http://schemas.microsoft.com/office/drawing/2014/main" id="{524C2144-1E83-411D-836C-583BC99493A3}"/>
            </a:ext>
          </a:extLst>
        </xdr:cNvPr>
        <xdr:cNvCxnSpPr>
          <a:cxnSpLocks noChangeShapeType="1"/>
        </xdr:cNvCxnSpPr>
      </xdr:nvCxnSpPr>
      <xdr:spPr bwMode="auto">
        <a:xfrm>
          <a:off x="8549640" y="254508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11</xdr:row>
      <xdr:rowOff>60960</xdr:rowOff>
    </xdr:from>
    <xdr:to>
      <xdr:col>17</xdr:col>
      <xdr:colOff>350520</xdr:colOff>
      <xdr:row>15</xdr:row>
      <xdr:rowOff>30480</xdr:rowOff>
    </xdr:to>
    <xdr:cxnSp macro="">
      <xdr:nvCxnSpPr>
        <xdr:cNvPr id="68775" name="Straight Connector 314">
          <a:extLst>
            <a:ext uri="{FF2B5EF4-FFF2-40B4-BE49-F238E27FC236}">
              <a16:creationId xmlns:a16="http://schemas.microsoft.com/office/drawing/2014/main" id="{66D70BA4-FFB1-4360-A978-11EC5CAB6073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190500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15</xdr:row>
      <xdr:rowOff>30480</xdr:rowOff>
    </xdr:from>
    <xdr:to>
      <xdr:col>17</xdr:col>
      <xdr:colOff>350520</xdr:colOff>
      <xdr:row>19</xdr:row>
      <xdr:rowOff>7620</xdr:rowOff>
    </xdr:to>
    <xdr:cxnSp macro="">
      <xdr:nvCxnSpPr>
        <xdr:cNvPr id="68776" name="Straight Connector 315">
          <a:extLst>
            <a:ext uri="{FF2B5EF4-FFF2-40B4-BE49-F238E27FC236}">
              <a16:creationId xmlns:a16="http://schemas.microsoft.com/office/drawing/2014/main" id="{A6714A5A-FEE2-4E5F-A396-D5E60F63149D}"/>
            </a:ext>
          </a:extLst>
        </xdr:cNvPr>
        <xdr:cNvCxnSpPr>
          <a:cxnSpLocks noChangeShapeType="1"/>
        </xdr:cNvCxnSpPr>
      </xdr:nvCxnSpPr>
      <xdr:spPr bwMode="auto">
        <a:xfrm>
          <a:off x="8549640" y="254508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11</xdr:row>
      <xdr:rowOff>45720</xdr:rowOff>
    </xdr:from>
    <xdr:to>
      <xdr:col>17</xdr:col>
      <xdr:colOff>350520</xdr:colOff>
      <xdr:row>11</xdr:row>
      <xdr:rowOff>45720</xdr:rowOff>
    </xdr:to>
    <xdr:cxnSp macro="">
      <xdr:nvCxnSpPr>
        <xdr:cNvPr id="68777" name="Straight Connector 316">
          <a:extLst>
            <a:ext uri="{FF2B5EF4-FFF2-40B4-BE49-F238E27FC236}">
              <a16:creationId xmlns:a16="http://schemas.microsoft.com/office/drawing/2014/main" id="{A3BC6196-26A9-4F99-8192-A702EF428D7D}"/>
            </a:ext>
          </a:extLst>
        </xdr:cNvPr>
        <xdr:cNvCxnSpPr>
          <a:cxnSpLocks noChangeShapeType="1"/>
        </xdr:cNvCxnSpPr>
      </xdr:nvCxnSpPr>
      <xdr:spPr bwMode="auto">
        <a:xfrm>
          <a:off x="8549640" y="1889760"/>
          <a:ext cx="39624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7</xdr:row>
      <xdr:rowOff>68580</xdr:rowOff>
    </xdr:from>
    <xdr:to>
      <xdr:col>17</xdr:col>
      <xdr:colOff>350520</xdr:colOff>
      <xdr:row>11</xdr:row>
      <xdr:rowOff>45720</xdr:rowOff>
    </xdr:to>
    <xdr:cxnSp macro="">
      <xdr:nvCxnSpPr>
        <xdr:cNvPr id="68778" name="Straight Connector 317">
          <a:extLst>
            <a:ext uri="{FF2B5EF4-FFF2-40B4-BE49-F238E27FC236}">
              <a16:creationId xmlns:a16="http://schemas.microsoft.com/office/drawing/2014/main" id="{DFF6A17D-E6DC-46A3-8811-CCDEBE16E3FA}"/>
            </a:ext>
          </a:extLst>
        </xdr:cNvPr>
        <xdr:cNvCxnSpPr>
          <a:cxnSpLocks noChangeShapeType="1"/>
        </xdr:cNvCxnSpPr>
      </xdr:nvCxnSpPr>
      <xdr:spPr bwMode="auto">
        <a:xfrm flipV="1">
          <a:off x="8549640" y="1242060"/>
          <a:ext cx="39624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563880</xdr:colOff>
      <xdr:row>11</xdr:row>
      <xdr:rowOff>45720</xdr:rowOff>
    </xdr:from>
    <xdr:to>
      <xdr:col>17</xdr:col>
      <xdr:colOff>350520</xdr:colOff>
      <xdr:row>15</xdr:row>
      <xdr:rowOff>15240</xdr:rowOff>
    </xdr:to>
    <xdr:cxnSp macro="">
      <xdr:nvCxnSpPr>
        <xdr:cNvPr id="68779" name="Straight Connector 318">
          <a:extLst>
            <a:ext uri="{FF2B5EF4-FFF2-40B4-BE49-F238E27FC236}">
              <a16:creationId xmlns:a16="http://schemas.microsoft.com/office/drawing/2014/main" id="{E62A9EAF-93D9-41D8-B612-E2D4E2D5F8E8}"/>
            </a:ext>
          </a:extLst>
        </xdr:cNvPr>
        <xdr:cNvCxnSpPr>
          <a:cxnSpLocks noChangeShapeType="1"/>
        </xdr:cNvCxnSpPr>
      </xdr:nvCxnSpPr>
      <xdr:spPr bwMode="auto">
        <a:xfrm>
          <a:off x="8549640" y="1889760"/>
          <a:ext cx="39624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77</xdr:row>
      <xdr:rowOff>160020</xdr:rowOff>
    </xdr:from>
    <xdr:to>
      <xdr:col>19</xdr:col>
      <xdr:colOff>342900</xdr:colOff>
      <xdr:row>77</xdr:row>
      <xdr:rowOff>160020</xdr:rowOff>
    </xdr:to>
    <xdr:cxnSp macro="">
      <xdr:nvCxnSpPr>
        <xdr:cNvPr id="68780" name="Straight Connector 319">
          <a:extLst>
            <a:ext uri="{FF2B5EF4-FFF2-40B4-BE49-F238E27FC236}">
              <a16:creationId xmlns:a16="http://schemas.microsoft.com/office/drawing/2014/main" id="{6DC9A807-A329-46DC-8DE1-367F7B4E537A}"/>
            </a:ext>
          </a:extLst>
        </xdr:cNvPr>
        <xdr:cNvCxnSpPr>
          <a:cxnSpLocks noChangeShapeType="1"/>
        </xdr:cNvCxnSpPr>
      </xdr:nvCxnSpPr>
      <xdr:spPr bwMode="auto">
        <a:xfrm>
          <a:off x="9532620" y="1306830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74</xdr:row>
      <xdr:rowOff>15240</xdr:rowOff>
    </xdr:from>
    <xdr:to>
      <xdr:col>19</xdr:col>
      <xdr:colOff>342900</xdr:colOff>
      <xdr:row>77</xdr:row>
      <xdr:rowOff>160020</xdr:rowOff>
    </xdr:to>
    <xdr:cxnSp macro="">
      <xdr:nvCxnSpPr>
        <xdr:cNvPr id="68781" name="Straight Connector 320">
          <a:extLst>
            <a:ext uri="{FF2B5EF4-FFF2-40B4-BE49-F238E27FC236}">
              <a16:creationId xmlns:a16="http://schemas.microsoft.com/office/drawing/2014/main" id="{BD8CB621-2368-4D8E-BDA7-E2B67C13022E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1242060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77</xdr:row>
      <xdr:rowOff>160020</xdr:rowOff>
    </xdr:from>
    <xdr:to>
      <xdr:col>19</xdr:col>
      <xdr:colOff>342900</xdr:colOff>
      <xdr:row>81</xdr:row>
      <xdr:rowOff>137160</xdr:rowOff>
    </xdr:to>
    <xdr:cxnSp macro="">
      <xdr:nvCxnSpPr>
        <xdr:cNvPr id="68782" name="Straight Connector 321">
          <a:extLst>
            <a:ext uri="{FF2B5EF4-FFF2-40B4-BE49-F238E27FC236}">
              <a16:creationId xmlns:a16="http://schemas.microsoft.com/office/drawing/2014/main" id="{EABB1080-0B5D-44E3-AEA9-ACF099CDF78C}"/>
            </a:ext>
          </a:extLst>
        </xdr:cNvPr>
        <xdr:cNvCxnSpPr>
          <a:cxnSpLocks noChangeShapeType="1"/>
        </xdr:cNvCxnSpPr>
      </xdr:nvCxnSpPr>
      <xdr:spPr bwMode="auto">
        <a:xfrm>
          <a:off x="9532620" y="1306830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74</xdr:row>
      <xdr:rowOff>7620</xdr:rowOff>
    </xdr:from>
    <xdr:to>
      <xdr:col>19</xdr:col>
      <xdr:colOff>342900</xdr:colOff>
      <xdr:row>74</xdr:row>
      <xdr:rowOff>7620</xdr:rowOff>
    </xdr:to>
    <xdr:cxnSp macro="">
      <xdr:nvCxnSpPr>
        <xdr:cNvPr id="68783" name="Straight Connector 322">
          <a:extLst>
            <a:ext uri="{FF2B5EF4-FFF2-40B4-BE49-F238E27FC236}">
              <a16:creationId xmlns:a16="http://schemas.microsoft.com/office/drawing/2014/main" id="{7B3A33BA-7BBF-4CCC-A0FB-9FA2742667DB}"/>
            </a:ext>
          </a:extLst>
        </xdr:cNvPr>
        <xdr:cNvCxnSpPr>
          <a:cxnSpLocks noChangeShapeType="1"/>
        </xdr:cNvCxnSpPr>
      </xdr:nvCxnSpPr>
      <xdr:spPr bwMode="auto">
        <a:xfrm>
          <a:off x="9532620" y="1241298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70</xdr:row>
      <xdr:rowOff>30480</xdr:rowOff>
    </xdr:from>
    <xdr:to>
      <xdr:col>19</xdr:col>
      <xdr:colOff>342900</xdr:colOff>
      <xdr:row>74</xdr:row>
      <xdr:rowOff>7620</xdr:rowOff>
    </xdr:to>
    <xdr:cxnSp macro="">
      <xdr:nvCxnSpPr>
        <xdr:cNvPr id="68784" name="Straight Connector 323">
          <a:extLst>
            <a:ext uri="{FF2B5EF4-FFF2-40B4-BE49-F238E27FC236}">
              <a16:creationId xmlns:a16="http://schemas.microsoft.com/office/drawing/2014/main" id="{78C248F2-67C1-4E37-87D7-14AAC525840D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1176528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74</xdr:row>
      <xdr:rowOff>7620</xdr:rowOff>
    </xdr:from>
    <xdr:to>
      <xdr:col>19</xdr:col>
      <xdr:colOff>342900</xdr:colOff>
      <xdr:row>77</xdr:row>
      <xdr:rowOff>144780</xdr:rowOff>
    </xdr:to>
    <xdr:cxnSp macro="">
      <xdr:nvCxnSpPr>
        <xdr:cNvPr id="68785" name="Straight Connector 324">
          <a:extLst>
            <a:ext uri="{FF2B5EF4-FFF2-40B4-BE49-F238E27FC236}">
              <a16:creationId xmlns:a16="http://schemas.microsoft.com/office/drawing/2014/main" id="{7151C817-C1E3-4A70-AAA1-826A7AC2E1D4}"/>
            </a:ext>
          </a:extLst>
        </xdr:cNvPr>
        <xdr:cNvCxnSpPr>
          <a:cxnSpLocks noChangeShapeType="1"/>
        </xdr:cNvCxnSpPr>
      </xdr:nvCxnSpPr>
      <xdr:spPr bwMode="auto">
        <a:xfrm>
          <a:off x="9532620" y="1241298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70</xdr:row>
      <xdr:rowOff>15240</xdr:rowOff>
    </xdr:from>
    <xdr:to>
      <xdr:col>19</xdr:col>
      <xdr:colOff>342900</xdr:colOff>
      <xdr:row>70</xdr:row>
      <xdr:rowOff>15240</xdr:rowOff>
    </xdr:to>
    <xdr:cxnSp macro="">
      <xdr:nvCxnSpPr>
        <xdr:cNvPr id="68786" name="Straight Connector 325">
          <a:extLst>
            <a:ext uri="{FF2B5EF4-FFF2-40B4-BE49-F238E27FC236}">
              <a16:creationId xmlns:a16="http://schemas.microsoft.com/office/drawing/2014/main" id="{52DB416B-66E1-4DD3-A624-C63DF0680B87}"/>
            </a:ext>
          </a:extLst>
        </xdr:cNvPr>
        <xdr:cNvCxnSpPr>
          <a:cxnSpLocks noChangeShapeType="1"/>
        </xdr:cNvCxnSpPr>
      </xdr:nvCxnSpPr>
      <xdr:spPr bwMode="auto">
        <a:xfrm>
          <a:off x="9532620" y="1175004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66</xdr:row>
      <xdr:rowOff>45720</xdr:rowOff>
    </xdr:from>
    <xdr:to>
      <xdr:col>19</xdr:col>
      <xdr:colOff>342900</xdr:colOff>
      <xdr:row>70</xdr:row>
      <xdr:rowOff>15240</xdr:rowOff>
    </xdr:to>
    <xdr:cxnSp macro="">
      <xdr:nvCxnSpPr>
        <xdr:cNvPr id="68787" name="Straight Connector 326">
          <a:extLst>
            <a:ext uri="{FF2B5EF4-FFF2-40B4-BE49-F238E27FC236}">
              <a16:creationId xmlns:a16="http://schemas.microsoft.com/office/drawing/2014/main" id="{E6CF3A4B-D13C-4C81-87CA-6061DAF7E8C4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1110996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70</xdr:row>
      <xdr:rowOff>15240</xdr:rowOff>
    </xdr:from>
    <xdr:to>
      <xdr:col>19</xdr:col>
      <xdr:colOff>342900</xdr:colOff>
      <xdr:row>73</xdr:row>
      <xdr:rowOff>160020</xdr:rowOff>
    </xdr:to>
    <xdr:cxnSp macro="">
      <xdr:nvCxnSpPr>
        <xdr:cNvPr id="68788" name="Straight Connector 327">
          <a:extLst>
            <a:ext uri="{FF2B5EF4-FFF2-40B4-BE49-F238E27FC236}">
              <a16:creationId xmlns:a16="http://schemas.microsoft.com/office/drawing/2014/main" id="{8BE5A8F0-2C8D-4427-94CC-CDADEA189A9D}"/>
            </a:ext>
          </a:extLst>
        </xdr:cNvPr>
        <xdr:cNvCxnSpPr>
          <a:cxnSpLocks noChangeShapeType="1"/>
        </xdr:cNvCxnSpPr>
      </xdr:nvCxnSpPr>
      <xdr:spPr bwMode="auto">
        <a:xfrm>
          <a:off x="9532620" y="117500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66</xdr:row>
      <xdr:rowOff>30480</xdr:rowOff>
    </xdr:from>
    <xdr:to>
      <xdr:col>19</xdr:col>
      <xdr:colOff>342900</xdr:colOff>
      <xdr:row>66</xdr:row>
      <xdr:rowOff>30480</xdr:rowOff>
    </xdr:to>
    <xdr:cxnSp macro="">
      <xdr:nvCxnSpPr>
        <xdr:cNvPr id="68789" name="Straight Connector 328">
          <a:extLst>
            <a:ext uri="{FF2B5EF4-FFF2-40B4-BE49-F238E27FC236}">
              <a16:creationId xmlns:a16="http://schemas.microsoft.com/office/drawing/2014/main" id="{368B8ED0-032D-424A-BA77-21147C0A4B91}"/>
            </a:ext>
          </a:extLst>
        </xdr:cNvPr>
        <xdr:cNvCxnSpPr>
          <a:cxnSpLocks noChangeShapeType="1"/>
        </xdr:cNvCxnSpPr>
      </xdr:nvCxnSpPr>
      <xdr:spPr bwMode="auto">
        <a:xfrm>
          <a:off x="9532620" y="1109472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62</xdr:row>
      <xdr:rowOff>60960</xdr:rowOff>
    </xdr:from>
    <xdr:to>
      <xdr:col>19</xdr:col>
      <xdr:colOff>342900</xdr:colOff>
      <xdr:row>66</xdr:row>
      <xdr:rowOff>30480</xdr:rowOff>
    </xdr:to>
    <xdr:cxnSp macro="">
      <xdr:nvCxnSpPr>
        <xdr:cNvPr id="68790" name="Straight Connector 329">
          <a:extLst>
            <a:ext uri="{FF2B5EF4-FFF2-40B4-BE49-F238E27FC236}">
              <a16:creationId xmlns:a16="http://schemas.microsoft.com/office/drawing/2014/main" id="{0F53E1F5-84D8-4691-A179-873A21D0154D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1045464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66</xdr:row>
      <xdr:rowOff>30480</xdr:rowOff>
    </xdr:from>
    <xdr:to>
      <xdr:col>19</xdr:col>
      <xdr:colOff>342900</xdr:colOff>
      <xdr:row>70</xdr:row>
      <xdr:rowOff>7620</xdr:rowOff>
    </xdr:to>
    <xdr:cxnSp macro="">
      <xdr:nvCxnSpPr>
        <xdr:cNvPr id="68791" name="Straight Connector 330">
          <a:extLst>
            <a:ext uri="{FF2B5EF4-FFF2-40B4-BE49-F238E27FC236}">
              <a16:creationId xmlns:a16="http://schemas.microsoft.com/office/drawing/2014/main" id="{E573A55C-A5FB-4605-BCA7-265876E736E9}"/>
            </a:ext>
          </a:extLst>
        </xdr:cNvPr>
        <xdr:cNvCxnSpPr>
          <a:cxnSpLocks noChangeShapeType="1"/>
        </xdr:cNvCxnSpPr>
      </xdr:nvCxnSpPr>
      <xdr:spPr bwMode="auto">
        <a:xfrm>
          <a:off x="9532620" y="1109472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62</xdr:row>
      <xdr:rowOff>45720</xdr:rowOff>
    </xdr:from>
    <xdr:to>
      <xdr:col>19</xdr:col>
      <xdr:colOff>342900</xdr:colOff>
      <xdr:row>62</xdr:row>
      <xdr:rowOff>45720</xdr:rowOff>
    </xdr:to>
    <xdr:cxnSp macro="">
      <xdr:nvCxnSpPr>
        <xdr:cNvPr id="68792" name="Straight Connector 331">
          <a:extLst>
            <a:ext uri="{FF2B5EF4-FFF2-40B4-BE49-F238E27FC236}">
              <a16:creationId xmlns:a16="http://schemas.microsoft.com/office/drawing/2014/main" id="{F096C0F7-82E9-49E6-8CDE-F8895EF96992}"/>
            </a:ext>
          </a:extLst>
        </xdr:cNvPr>
        <xdr:cNvCxnSpPr>
          <a:cxnSpLocks noChangeShapeType="1"/>
        </xdr:cNvCxnSpPr>
      </xdr:nvCxnSpPr>
      <xdr:spPr bwMode="auto">
        <a:xfrm>
          <a:off x="9532620" y="1043940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58</xdr:row>
      <xdr:rowOff>68580</xdr:rowOff>
    </xdr:from>
    <xdr:to>
      <xdr:col>19</xdr:col>
      <xdr:colOff>342900</xdr:colOff>
      <xdr:row>62</xdr:row>
      <xdr:rowOff>45720</xdr:rowOff>
    </xdr:to>
    <xdr:cxnSp macro="">
      <xdr:nvCxnSpPr>
        <xdr:cNvPr id="68793" name="Straight Connector 332">
          <a:extLst>
            <a:ext uri="{FF2B5EF4-FFF2-40B4-BE49-F238E27FC236}">
              <a16:creationId xmlns:a16="http://schemas.microsoft.com/office/drawing/2014/main" id="{C4D26C6D-5A8B-4F76-B61A-0B332584B1B6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979170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62</xdr:row>
      <xdr:rowOff>45720</xdr:rowOff>
    </xdr:from>
    <xdr:to>
      <xdr:col>19</xdr:col>
      <xdr:colOff>342900</xdr:colOff>
      <xdr:row>66</xdr:row>
      <xdr:rowOff>15240</xdr:rowOff>
    </xdr:to>
    <xdr:cxnSp macro="">
      <xdr:nvCxnSpPr>
        <xdr:cNvPr id="68794" name="Straight Connector 333">
          <a:extLst>
            <a:ext uri="{FF2B5EF4-FFF2-40B4-BE49-F238E27FC236}">
              <a16:creationId xmlns:a16="http://schemas.microsoft.com/office/drawing/2014/main" id="{25883880-B1D6-4349-8228-ACF27E52C73C}"/>
            </a:ext>
          </a:extLst>
        </xdr:cNvPr>
        <xdr:cNvCxnSpPr>
          <a:cxnSpLocks noChangeShapeType="1"/>
        </xdr:cNvCxnSpPr>
      </xdr:nvCxnSpPr>
      <xdr:spPr bwMode="auto">
        <a:xfrm>
          <a:off x="9532620" y="1043940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58</xdr:row>
      <xdr:rowOff>60960</xdr:rowOff>
    </xdr:from>
    <xdr:to>
      <xdr:col>19</xdr:col>
      <xdr:colOff>342900</xdr:colOff>
      <xdr:row>58</xdr:row>
      <xdr:rowOff>60960</xdr:rowOff>
    </xdr:to>
    <xdr:cxnSp macro="">
      <xdr:nvCxnSpPr>
        <xdr:cNvPr id="68795" name="Straight Connector 334">
          <a:extLst>
            <a:ext uri="{FF2B5EF4-FFF2-40B4-BE49-F238E27FC236}">
              <a16:creationId xmlns:a16="http://schemas.microsoft.com/office/drawing/2014/main" id="{C0F0F4B3-3EA2-45DB-916A-C1B25E51F5C3}"/>
            </a:ext>
          </a:extLst>
        </xdr:cNvPr>
        <xdr:cNvCxnSpPr>
          <a:cxnSpLocks noChangeShapeType="1"/>
        </xdr:cNvCxnSpPr>
      </xdr:nvCxnSpPr>
      <xdr:spPr bwMode="auto">
        <a:xfrm>
          <a:off x="9532620" y="978408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54</xdr:row>
      <xdr:rowOff>83820</xdr:rowOff>
    </xdr:from>
    <xdr:to>
      <xdr:col>19</xdr:col>
      <xdr:colOff>342900</xdr:colOff>
      <xdr:row>58</xdr:row>
      <xdr:rowOff>60960</xdr:rowOff>
    </xdr:to>
    <xdr:cxnSp macro="">
      <xdr:nvCxnSpPr>
        <xdr:cNvPr id="68796" name="Straight Connector 335">
          <a:extLst>
            <a:ext uri="{FF2B5EF4-FFF2-40B4-BE49-F238E27FC236}">
              <a16:creationId xmlns:a16="http://schemas.microsoft.com/office/drawing/2014/main" id="{6879F33C-F760-4205-BB7D-1AA53A89B84A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913638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58</xdr:row>
      <xdr:rowOff>60960</xdr:rowOff>
    </xdr:from>
    <xdr:to>
      <xdr:col>19</xdr:col>
      <xdr:colOff>342900</xdr:colOff>
      <xdr:row>62</xdr:row>
      <xdr:rowOff>30480</xdr:rowOff>
    </xdr:to>
    <xdr:cxnSp macro="">
      <xdr:nvCxnSpPr>
        <xdr:cNvPr id="68797" name="Straight Connector 336">
          <a:extLst>
            <a:ext uri="{FF2B5EF4-FFF2-40B4-BE49-F238E27FC236}">
              <a16:creationId xmlns:a16="http://schemas.microsoft.com/office/drawing/2014/main" id="{321CBE05-B5EA-43EF-9AD2-D583C169EF63}"/>
            </a:ext>
          </a:extLst>
        </xdr:cNvPr>
        <xdr:cNvCxnSpPr>
          <a:cxnSpLocks noChangeShapeType="1"/>
        </xdr:cNvCxnSpPr>
      </xdr:nvCxnSpPr>
      <xdr:spPr bwMode="auto">
        <a:xfrm>
          <a:off x="9532620" y="978408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54</xdr:row>
      <xdr:rowOff>68580</xdr:rowOff>
    </xdr:from>
    <xdr:to>
      <xdr:col>19</xdr:col>
      <xdr:colOff>342900</xdr:colOff>
      <xdr:row>54</xdr:row>
      <xdr:rowOff>68580</xdr:rowOff>
    </xdr:to>
    <xdr:cxnSp macro="">
      <xdr:nvCxnSpPr>
        <xdr:cNvPr id="68798" name="Straight Connector 337">
          <a:extLst>
            <a:ext uri="{FF2B5EF4-FFF2-40B4-BE49-F238E27FC236}">
              <a16:creationId xmlns:a16="http://schemas.microsoft.com/office/drawing/2014/main" id="{B6F653E0-E709-41EE-8C07-7DA3F6BFA536}"/>
            </a:ext>
          </a:extLst>
        </xdr:cNvPr>
        <xdr:cNvCxnSpPr>
          <a:cxnSpLocks noChangeShapeType="1"/>
        </xdr:cNvCxnSpPr>
      </xdr:nvCxnSpPr>
      <xdr:spPr bwMode="auto">
        <a:xfrm>
          <a:off x="9532620" y="912114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50</xdr:row>
      <xdr:rowOff>99060</xdr:rowOff>
    </xdr:from>
    <xdr:to>
      <xdr:col>19</xdr:col>
      <xdr:colOff>342900</xdr:colOff>
      <xdr:row>54</xdr:row>
      <xdr:rowOff>68580</xdr:rowOff>
    </xdr:to>
    <xdr:cxnSp macro="">
      <xdr:nvCxnSpPr>
        <xdr:cNvPr id="68799" name="Straight Connector 338">
          <a:extLst>
            <a:ext uri="{FF2B5EF4-FFF2-40B4-BE49-F238E27FC236}">
              <a16:creationId xmlns:a16="http://schemas.microsoft.com/office/drawing/2014/main" id="{E929CC30-8DB1-40A7-9546-BDFC4A010B1A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848106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54</xdr:row>
      <xdr:rowOff>68580</xdr:rowOff>
    </xdr:from>
    <xdr:to>
      <xdr:col>19</xdr:col>
      <xdr:colOff>342900</xdr:colOff>
      <xdr:row>58</xdr:row>
      <xdr:rowOff>45720</xdr:rowOff>
    </xdr:to>
    <xdr:cxnSp macro="">
      <xdr:nvCxnSpPr>
        <xdr:cNvPr id="68800" name="Straight Connector 339">
          <a:extLst>
            <a:ext uri="{FF2B5EF4-FFF2-40B4-BE49-F238E27FC236}">
              <a16:creationId xmlns:a16="http://schemas.microsoft.com/office/drawing/2014/main" id="{B55C92BB-0F6E-4AE7-B7B8-8E28F866F3D4}"/>
            </a:ext>
          </a:extLst>
        </xdr:cNvPr>
        <xdr:cNvCxnSpPr>
          <a:cxnSpLocks noChangeShapeType="1"/>
        </xdr:cNvCxnSpPr>
      </xdr:nvCxnSpPr>
      <xdr:spPr bwMode="auto">
        <a:xfrm>
          <a:off x="9532620" y="91211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50</xdr:row>
      <xdr:rowOff>83820</xdr:rowOff>
    </xdr:from>
    <xdr:to>
      <xdr:col>19</xdr:col>
      <xdr:colOff>342900</xdr:colOff>
      <xdr:row>50</xdr:row>
      <xdr:rowOff>83820</xdr:rowOff>
    </xdr:to>
    <xdr:cxnSp macro="">
      <xdr:nvCxnSpPr>
        <xdr:cNvPr id="68801" name="Straight Connector 340">
          <a:extLst>
            <a:ext uri="{FF2B5EF4-FFF2-40B4-BE49-F238E27FC236}">
              <a16:creationId xmlns:a16="http://schemas.microsoft.com/office/drawing/2014/main" id="{D296E691-979D-433F-892E-B363C4810E34}"/>
            </a:ext>
          </a:extLst>
        </xdr:cNvPr>
        <xdr:cNvCxnSpPr>
          <a:cxnSpLocks noChangeShapeType="1"/>
        </xdr:cNvCxnSpPr>
      </xdr:nvCxnSpPr>
      <xdr:spPr bwMode="auto">
        <a:xfrm>
          <a:off x="9532620" y="846582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46</xdr:row>
      <xdr:rowOff>106680</xdr:rowOff>
    </xdr:from>
    <xdr:to>
      <xdr:col>19</xdr:col>
      <xdr:colOff>342900</xdr:colOff>
      <xdr:row>50</xdr:row>
      <xdr:rowOff>83820</xdr:rowOff>
    </xdr:to>
    <xdr:cxnSp macro="">
      <xdr:nvCxnSpPr>
        <xdr:cNvPr id="68802" name="Straight Connector 341">
          <a:extLst>
            <a:ext uri="{FF2B5EF4-FFF2-40B4-BE49-F238E27FC236}">
              <a16:creationId xmlns:a16="http://schemas.microsoft.com/office/drawing/2014/main" id="{57C512A1-CC5A-4C51-B4C4-B5E0B5CF0B95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781812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50</xdr:row>
      <xdr:rowOff>83820</xdr:rowOff>
    </xdr:from>
    <xdr:to>
      <xdr:col>19</xdr:col>
      <xdr:colOff>342900</xdr:colOff>
      <xdr:row>54</xdr:row>
      <xdr:rowOff>60960</xdr:rowOff>
    </xdr:to>
    <xdr:cxnSp macro="">
      <xdr:nvCxnSpPr>
        <xdr:cNvPr id="68803" name="Straight Connector 342">
          <a:extLst>
            <a:ext uri="{FF2B5EF4-FFF2-40B4-BE49-F238E27FC236}">
              <a16:creationId xmlns:a16="http://schemas.microsoft.com/office/drawing/2014/main" id="{62450FEB-D31E-407E-A4DB-B8734BD65C9F}"/>
            </a:ext>
          </a:extLst>
        </xdr:cNvPr>
        <xdr:cNvCxnSpPr>
          <a:cxnSpLocks noChangeShapeType="1"/>
        </xdr:cNvCxnSpPr>
      </xdr:nvCxnSpPr>
      <xdr:spPr bwMode="auto">
        <a:xfrm>
          <a:off x="9532620" y="846582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46</xdr:row>
      <xdr:rowOff>99060</xdr:rowOff>
    </xdr:from>
    <xdr:to>
      <xdr:col>19</xdr:col>
      <xdr:colOff>342900</xdr:colOff>
      <xdr:row>46</xdr:row>
      <xdr:rowOff>99060</xdr:rowOff>
    </xdr:to>
    <xdr:cxnSp macro="">
      <xdr:nvCxnSpPr>
        <xdr:cNvPr id="68804" name="Straight Connector 343">
          <a:extLst>
            <a:ext uri="{FF2B5EF4-FFF2-40B4-BE49-F238E27FC236}">
              <a16:creationId xmlns:a16="http://schemas.microsoft.com/office/drawing/2014/main" id="{76F5323B-6336-4704-8DFC-DD23792E9958}"/>
            </a:ext>
          </a:extLst>
        </xdr:cNvPr>
        <xdr:cNvCxnSpPr>
          <a:cxnSpLocks noChangeShapeType="1"/>
        </xdr:cNvCxnSpPr>
      </xdr:nvCxnSpPr>
      <xdr:spPr bwMode="auto">
        <a:xfrm>
          <a:off x="9532620" y="781050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42</xdr:row>
      <xdr:rowOff>121920</xdr:rowOff>
    </xdr:from>
    <xdr:to>
      <xdr:col>19</xdr:col>
      <xdr:colOff>342900</xdr:colOff>
      <xdr:row>46</xdr:row>
      <xdr:rowOff>99060</xdr:rowOff>
    </xdr:to>
    <xdr:cxnSp macro="">
      <xdr:nvCxnSpPr>
        <xdr:cNvPr id="68805" name="Straight Connector 344">
          <a:extLst>
            <a:ext uri="{FF2B5EF4-FFF2-40B4-BE49-F238E27FC236}">
              <a16:creationId xmlns:a16="http://schemas.microsoft.com/office/drawing/2014/main" id="{2E4115D7-8923-43D6-8427-CD07467AAEB7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716280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46</xdr:row>
      <xdr:rowOff>99060</xdr:rowOff>
    </xdr:from>
    <xdr:to>
      <xdr:col>19</xdr:col>
      <xdr:colOff>342900</xdr:colOff>
      <xdr:row>50</xdr:row>
      <xdr:rowOff>68580</xdr:rowOff>
    </xdr:to>
    <xdr:cxnSp macro="">
      <xdr:nvCxnSpPr>
        <xdr:cNvPr id="68806" name="Straight Connector 345">
          <a:extLst>
            <a:ext uri="{FF2B5EF4-FFF2-40B4-BE49-F238E27FC236}">
              <a16:creationId xmlns:a16="http://schemas.microsoft.com/office/drawing/2014/main" id="{96BAB0D8-276F-4F7A-9857-D7B0DA28EBFB}"/>
            </a:ext>
          </a:extLst>
        </xdr:cNvPr>
        <xdr:cNvCxnSpPr>
          <a:cxnSpLocks noChangeShapeType="1"/>
        </xdr:cNvCxnSpPr>
      </xdr:nvCxnSpPr>
      <xdr:spPr bwMode="auto">
        <a:xfrm>
          <a:off x="9532620" y="781050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42</xdr:row>
      <xdr:rowOff>106680</xdr:rowOff>
    </xdr:from>
    <xdr:to>
      <xdr:col>19</xdr:col>
      <xdr:colOff>342900</xdr:colOff>
      <xdr:row>42</xdr:row>
      <xdr:rowOff>106680</xdr:rowOff>
    </xdr:to>
    <xdr:cxnSp macro="">
      <xdr:nvCxnSpPr>
        <xdr:cNvPr id="68807" name="Straight Connector 346">
          <a:extLst>
            <a:ext uri="{FF2B5EF4-FFF2-40B4-BE49-F238E27FC236}">
              <a16:creationId xmlns:a16="http://schemas.microsoft.com/office/drawing/2014/main" id="{FDFDD4BF-9248-49E9-8791-DC6950A6A1C5}"/>
            </a:ext>
          </a:extLst>
        </xdr:cNvPr>
        <xdr:cNvCxnSpPr>
          <a:cxnSpLocks noChangeShapeType="1"/>
        </xdr:cNvCxnSpPr>
      </xdr:nvCxnSpPr>
      <xdr:spPr bwMode="auto">
        <a:xfrm>
          <a:off x="9532620" y="714756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38</xdr:row>
      <xdr:rowOff>137160</xdr:rowOff>
    </xdr:from>
    <xdr:to>
      <xdr:col>19</xdr:col>
      <xdr:colOff>342900</xdr:colOff>
      <xdr:row>42</xdr:row>
      <xdr:rowOff>106680</xdr:rowOff>
    </xdr:to>
    <xdr:cxnSp macro="">
      <xdr:nvCxnSpPr>
        <xdr:cNvPr id="68808" name="Straight Connector 347">
          <a:extLst>
            <a:ext uri="{FF2B5EF4-FFF2-40B4-BE49-F238E27FC236}">
              <a16:creationId xmlns:a16="http://schemas.microsoft.com/office/drawing/2014/main" id="{9E8810AD-6BA8-4580-8789-C1BDAE0F289F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650748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42</xdr:row>
      <xdr:rowOff>106680</xdr:rowOff>
    </xdr:from>
    <xdr:to>
      <xdr:col>19</xdr:col>
      <xdr:colOff>342900</xdr:colOff>
      <xdr:row>46</xdr:row>
      <xdr:rowOff>83820</xdr:rowOff>
    </xdr:to>
    <xdr:cxnSp macro="">
      <xdr:nvCxnSpPr>
        <xdr:cNvPr id="68809" name="Straight Connector 348">
          <a:extLst>
            <a:ext uri="{FF2B5EF4-FFF2-40B4-BE49-F238E27FC236}">
              <a16:creationId xmlns:a16="http://schemas.microsoft.com/office/drawing/2014/main" id="{23419007-5567-41F0-8785-B26A01B51154}"/>
            </a:ext>
          </a:extLst>
        </xdr:cNvPr>
        <xdr:cNvCxnSpPr>
          <a:cxnSpLocks noChangeShapeType="1"/>
        </xdr:cNvCxnSpPr>
      </xdr:nvCxnSpPr>
      <xdr:spPr bwMode="auto">
        <a:xfrm>
          <a:off x="9532620" y="714756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38</xdr:row>
      <xdr:rowOff>121920</xdr:rowOff>
    </xdr:from>
    <xdr:to>
      <xdr:col>19</xdr:col>
      <xdr:colOff>342900</xdr:colOff>
      <xdr:row>38</xdr:row>
      <xdr:rowOff>121920</xdr:rowOff>
    </xdr:to>
    <xdr:cxnSp macro="">
      <xdr:nvCxnSpPr>
        <xdr:cNvPr id="68810" name="Straight Connector 349">
          <a:extLst>
            <a:ext uri="{FF2B5EF4-FFF2-40B4-BE49-F238E27FC236}">
              <a16:creationId xmlns:a16="http://schemas.microsoft.com/office/drawing/2014/main" id="{42FEDC10-98EC-4E94-B179-BDFD5B81B1D8}"/>
            </a:ext>
          </a:extLst>
        </xdr:cNvPr>
        <xdr:cNvCxnSpPr>
          <a:cxnSpLocks noChangeShapeType="1"/>
        </xdr:cNvCxnSpPr>
      </xdr:nvCxnSpPr>
      <xdr:spPr bwMode="auto">
        <a:xfrm>
          <a:off x="9532620" y="649224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34</xdr:row>
      <xdr:rowOff>144780</xdr:rowOff>
    </xdr:from>
    <xdr:to>
      <xdr:col>19</xdr:col>
      <xdr:colOff>342900</xdr:colOff>
      <xdr:row>38</xdr:row>
      <xdr:rowOff>121920</xdr:rowOff>
    </xdr:to>
    <xdr:cxnSp macro="">
      <xdr:nvCxnSpPr>
        <xdr:cNvPr id="68811" name="Straight Connector 350">
          <a:extLst>
            <a:ext uri="{FF2B5EF4-FFF2-40B4-BE49-F238E27FC236}">
              <a16:creationId xmlns:a16="http://schemas.microsoft.com/office/drawing/2014/main" id="{F4B77C68-1563-490D-98D4-5E47B24E5216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58445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38</xdr:row>
      <xdr:rowOff>121920</xdr:rowOff>
    </xdr:from>
    <xdr:to>
      <xdr:col>19</xdr:col>
      <xdr:colOff>342900</xdr:colOff>
      <xdr:row>42</xdr:row>
      <xdr:rowOff>99060</xdr:rowOff>
    </xdr:to>
    <xdr:cxnSp macro="">
      <xdr:nvCxnSpPr>
        <xdr:cNvPr id="68812" name="Straight Connector 351">
          <a:extLst>
            <a:ext uri="{FF2B5EF4-FFF2-40B4-BE49-F238E27FC236}">
              <a16:creationId xmlns:a16="http://schemas.microsoft.com/office/drawing/2014/main" id="{C3214FE0-3634-459E-BAD6-58C6C198FF14}"/>
            </a:ext>
          </a:extLst>
        </xdr:cNvPr>
        <xdr:cNvCxnSpPr>
          <a:cxnSpLocks noChangeShapeType="1"/>
        </xdr:cNvCxnSpPr>
      </xdr:nvCxnSpPr>
      <xdr:spPr bwMode="auto">
        <a:xfrm>
          <a:off x="9532620" y="64922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34</xdr:row>
      <xdr:rowOff>137160</xdr:rowOff>
    </xdr:from>
    <xdr:to>
      <xdr:col>19</xdr:col>
      <xdr:colOff>342900</xdr:colOff>
      <xdr:row>34</xdr:row>
      <xdr:rowOff>137160</xdr:rowOff>
    </xdr:to>
    <xdr:cxnSp macro="">
      <xdr:nvCxnSpPr>
        <xdr:cNvPr id="68813" name="Straight Connector 352">
          <a:extLst>
            <a:ext uri="{FF2B5EF4-FFF2-40B4-BE49-F238E27FC236}">
              <a16:creationId xmlns:a16="http://schemas.microsoft.com/office/drawing/2014/main" id="{D20CAEE6-3654-45D6-BE35-4E388069CB33}"/>
            </a:ext>
          </a:extLst>
        </xdr:cNvPr>
        <xdr:cNvCxnSpPr>
          <a:cxnSpLocks noChangeShapeType="1"/>
        </xdr:cNvCxnSpPr>
      </xdr:nvCxnSpPr>
      <xdr:spPr bwMode="auto">
        <a:xfrm>
          <a:off x="9532620" y="583692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30</xdr:row>
      <xdr:rowOff>160020</xdr:rowOff>
    </xdr:from>
    <xdr:to>
      <xdr:col>19</xdr:col>
      <xdr:colOff>342900</xdr:colOff>
      <xdr:row>34</xdr:row>
      <xdr:rowOff>137160</xdr:rowOff>
    </xdr:to>
    <xdr:cxnSp macro="">
      <xdr:nvCxnSpPr>
        <xdr:cNvPr id="68814" name="Straight Connector 353">
          <a:extLst>
            <a:ext uri="{FF2B5EF4-FFF2-40B4-BE49-F238E27FC236}">
              <a16:creationId xmlns:a16="http://schemas.microsoft.com/office/drawing/2014/main" id="{F107BDF5-44EF-4353-B486-10F058DB5A3F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518922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34</xdr:row>
      <xdr:rowOff>137160</xdr:rowOff>
    </xdr:from>
    <xdr:to>
      <xdr:col>19</xdr:col>
      <xdr:colOff>342900</xdr:colOff>
      <xdr:row>38</xdr:row>
      <xdr:rowOff>106680</xdr:rowOff>
    </xdr:to>
    <xdr:cxnSp macro="">
      <xdr:nvCxnSpPr>
        <xdr:cNvPr id="68815" name="Straight Connector 354">
          <a:extLst>
            <a:ext uri="{FF2B5EF4-FFF2-40B4-BE49-F238E27FC236}">
              <a16:creationId xmlns:a16="http://schemas.microsoft.com/office/drawing/2014/main" id="{6A537051-7774-4E54-91CD-035A6745B1B1}"/>
            </a:ext>
          </a:extLst>
        </xdr:cNvPr>
        <xdr:cNvCxnSpPr>
          <a:cxnSpLocks noChangeShapeType="1"/>
        </xdr:cNvCxnSpPr>
      </xdr:nvCxnSpPr>
      <xdr:spPr bwMode="auto">
        <a:xfrm>
          <a:off x="9532620" y="583692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30</xdr:row>
      <xdr:rowOff>144780</xdr:rowOff>
    </xdr:from>
    <xdr:to>
      <xdr:col>19</xdr:col>
      <xdr:colOff>342900</xdr:colOff>
      <xdr:row>30</xdr:row>
      <xdr:rowOff>144780</xdr:rowOff>
    </xdr:to>
    <xdr:cxnSp macro="">
      <xdr:nvCxnSpPr>
        <xdr:cNvPr id="68816" name="Straight Connector 355">
          <a:extLst>
            <a:ext uri="{FF2B5EF4-FFF2-40B4-BE49-F238E27FC236}">
              <a16:creationId xmlns:a16="http://schemas.microsoft.com/office/drawing/2014/main" id="{3ECF8537-513D-42DD-88BB-F29D499241D5}"/>
            </a:ext>
          </a:extLst>
        </xdr:cNvPr>
        <xdr:cNvCxnSpPr>
          <a:cxnSpLocks noChangeShapeType="1"/>
        </xdr:cNvCxnSpPr>
      </xdr:nvCxnSpPr>
      <xdr:spPr bwMode="auto">
        <a:xfrm>
          <a:off x="9532620" y="517398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27</xdr:row>
      <xdr:rowOff>7620</xdr:rowOff>
    </xdr:from>
    <xdr:to>
      <xdr:col>19</xdr:col>
      <xdr:colOff>342900</xdr:colOff>
      <xdr:row>30</xdr:row>
      <xdr:rowOff>144780</xdr:rowOff>
    </xdr:to>
    <xdr:cxnSp macro="">
      <xdr:nvCxnSpPr>
        <xdr:cNvPr id="68817" name="Straight Connector 356">
          <a:extLst>
            <a:ext uri="{FF2B5EF4-FFF2-40B4-BE49-F238E27FC236}">
              <a16:creationId xmlns:a16="http://schemas.microsoft.com/office/drawing/2014/main" id="{E4A4DE2B-D75B-4EBE-827F-5F13AC4361F9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453390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30</xdr:row>
      <xdr:rowOff>144780</xdr:rowOff>
    </xdr:from>
    <xdr:to>
      <xdr:col>19</xdr:col>
      <xdr:colOff>342900</xdr:colOff>
      <xdr:row>34</xdr:row>
      <xdr:rowOff>121920</xdr:rowOff>
    </xdr:to>
    <xdr:cxnSp macro="">
      <xdr:nvCxnSpPr>
        <xdr:cNvPr id="68818" name="Straight Connector 357">
          <a:extLst>
            <a:ext uri="{FF2B5EF4-FFF2-40B4-BE49-F238E27FC236}">
              <a16:creationId xmlns:a16="http://schemas.microsoft.com/office/drawing/2014/main" id="{CFC21C05-D8D3-4B3D-9D03-4B25BAB1889B}"/>
            </a:ext>
          </a:extLst>
        </xdr:cNvPr>
        <xdr:cNvCxnSpPr>
          <a:cxnSpLocks noChangeShapeType="1"/>
        </xdr:cNvCxnSpPr>
      </xdr:nvCxnSpPr>
      <xdr:spPr bwMode="auto">
        <a:xfrm>
          <a:off x="9532620" y="517398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26</xdr:row>
      <xdr:rowOff>160020</xdr:rowOff>
    </xdr:from>
    <xdr:to>
      <xdr:col>19</xdr:col>
      <xdr:colOff>342900</xdr:colOff>
      <xdr:row>26</xdr:row>
      <xdr:rowOff>160020</xdr:rowOff>
    </xdr:to>
    <xdr:cxnSp macro="">
      <xdr:nvCxnSpPr>
        <xdr:cNvPr id="68819" name="Straight Connector 358">
          <a:extLst>
            <a:ext uri="{FF2B5EF4-FFF2-40B4-BE49-F238E27FC236}">
              <a16:creationId xmlns:a16="http://schemas.microsoft.com/office/drawing/2014/main" id="{2F514775-E716-460C-93CF-2D826E488A02}"/>
            </a:ext>
          </a:extLst>
        </xdr:cNvPr>
        <xdr:cNvCxnSpPr>
          <a:cxnSpLocks noChangeShapeType="1"/>
        </xdr:cNvCxnSpPr>
      </xdr:nvCxnSpPr>
      <xdr:spPr bwMode="auto">
        <a:xfrm>
          <a:off x="9532620" y="451866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23</xdr:row>
      <xdr:rowOff>15240</xdr:rowOff>
    </xdr:from>
    <xdr:to>
      <xdr:col>19</xdr:col>
      <xdr:colOff>342900</xdr:colOff>
      <xdr:row>26</xdr:row>
      <xdr:rowOff>160020</xdr:rowOff>
    </xdr:to>
    <xdr:cxnSp macro="">
      <xdr:nvCxnSpPr>
        <xdr:cNvPr id="68820" name="Straight Connector 359">
          <a:extLst>
            <a:ext uri="{FF2B5EF4-FFF2-40B4-BE49-F238E27FC236}">
              <a16:creationId xmlns:a16="http://schemas.microsoft.com/office/drawing/2014/main" id="{19318F44-A829-4475-9E08-D2ECA803BE48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387096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26</xdr:row>
      <xdr:rowOff>160020</xdr:rowOff>
    </xdr:from>
    <xdr:to>
      <xdr:col>19</xdr:col>
      <xdr:colOff>342900</xdr:colOff>
      <xdr:row>30</xdr:row>
      <xdr:rowOff>137160</xdr:rowOff>
    </xdr:to>
    <xdr:cxnSp macro="">
      <xdr:nvCxnSpPr>
        <xdr:cNvPr id="68821" name="Straight Connector 360">
          <a:extLst>
            <a:ext uri="{FF2B5EF4-FFF2-40B4-BE49-F238E27FC236}">
              <a16:creationId xmlns:a16="http://schemas.microsoft.com/office/drawing/2014/main" id="{0253FA83-3A73-4E73-B5A0-9E6980482307}"/>
            </a:ext>
          </a:extLst>
        </xdr:cNvPr>
        <xdr:cNvCxnSpPr>
          <a:cxnSpLocks noChangeShapeType="1"/>
        </xdr:cNvCxnSpPr>
      </xdr:nvCxnSpPr>
      <xdr:spPr bwMode="auto">
        <a:xfrm>
          <a:off x="9532620" y="451866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23</xdr:row>
      <xdr:rowOff>7620</xdr:rowOff>
    </xdr:from>
    <xdr:to>
      <xdr:col>19</xdr:col>
      <xdr:colOff>342900</xdr:colOff>
      <xdr:row>23</xdr:row>
      <xdr:rowOff>7620</xdr:rowOff>
    </xdr:to>
    <xdr:cxnSp macro="">
      <xdr:nvCxnSpPr>
        <xdr:cNvPr id="68822" name="Straight Connector 361">
          <a:extLst>
            <a:ext uri="{FF2B5EF4-FFF2-40B4-BE49-F238E27FC236}">
              <a16:creationId xmlns:a16="http://schemas.microsoft.com/office/drawing/2014/main" id="{43F6576C-BBC5-444D-8634-B52A8D061F15}"/>
            </a:ext>
          </a:extLst>
        </xdr:cNvPr>
        <xdr:cNvCxnSpPr>
          <a:cxnSpLocks noChangeShapeType="1"/>
        </xdr:cNvCxnSpPr>
      </xdr:nvCxnSpPr>
      <xdr:spPr bwMode="auto">
        <a:xfrm>
          <a:off x="9532620" y="386334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19</xdr:row>
      <xdr:rowOff>30480</xdr:rowOff>
    </xdr:from>
    <xdr:to>
      <xdr:col>19</xdr:col>
      <xdr:colOff>342900</xdr:colOff>
      <xdr:row>23</xdr:row>
      <xdr:rowOff>7620</xdr:rowOff>
    </xdr:to>
    <xdr:cxnSp macro="">
      <xdr:nvCxnSpPr>
        <xdr:cNvPr id="68823" name="Straight Connector 362">
          <a:extLst>
            <a:ext uri="{FF2B5EF4-FFF2-40B4-BE49-F238E27FC236}">
              <a16:creationId xmlns:a16="http://schemas.microsoft.com/office/drawing/2014/main" id="{D3E156DC-8335-4C5C-80C0-A21350F96C4C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32156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23</xdr:row>
      <xdr:rowOff>7620</xdr:rowOff>
    </xdr:from>
    <xdr:to>
      <xdr:col>19</xdr:col>
      <xdr:colOff>342900</xdr:colOff>
      <xdr:row>26</xdr:row>
      <xdr:rowOff>144780</xdr:rowOff>
    </xdr:to>
    <xdr:cxnSp macro="">
      <xdr:nvCxnSpPr>
        <xdr:cNvPr id="68824" name="Straight Connector 363">
          <a:extLst>
            <a:ext uri="{FF2B5EF4-FFF2-40B4-BE49-F238E27FC236}">
              <a16:creationId xmlns:a16="http://schemas.microsoft.com/office/drawing/2014/main" id="{7F0952DB-AFBE-42FE-8AD9-DF9B7380C377}"/>
            </a:ext>
          </a:extLst>
        </xdr:cNvPr>
        <xdr:cNvCxnSpPr>
          <a:cxnSpLocks noChangeShapeType="1"/>
        </xdr:cNvCxnSpPr>
      </xdr:nvCxnSpPr>
      <xdr:spPr bwMode="auto">
        <a:xfrm>
          <a:off x="9532620" y="386334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19</xdr:row>
      <xdr:rowOff>15240</xdr:rowOff>
    </xdr:from>
    <xdr:to>
      <xdr:col>19</xdr:col>
      <xdr:colOff>342900</xdr:colOff>
      <xdr:row>19</xdr:row>
      <xdr:rowOff>15240</xdr:rowOff>
    </xdr:to>
    <xdr:cxnSp macro="">
      <xdr:nvCxnSpPr>
        <xdr:cNvPr id="68825" name="Straight Connector 364">
          <a:extLst>
            <a:ext uri="{FF2B5EF4-FFF2-40B4-BE49-F238E27FC236}">
              <a16:creationId xmlns:a16="http://schemas.microsoft.com/office/drawing/2014/main" id="{EE9B2AAE-1948-48D3-8143-F034370FF582}"/>
            </a:ext>
          </a:extLst>
        </xdr:cNvPr>
        <xdr:cNvCxnSpPr>
          <a:cxnSpLocks noChangeShapeType="1"/>
        </xdr:cNvCxnSpPr>
      </xdr:nvCxnSpPr>
      <xdr:spPr bwMode="auto">
        <a:xfrm>
          <a:off x="9532620" y="320040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15</xdr:row>
      <xdr:rowOff>45720</xdr:rowOff>
    </xdr:from>
    <xdr:to>
      <xdr:col>19</xdr:col>
      <xdr:colOff>342900</xdr:colOff>
      <xdr:row>19</xdr:row>
      <xdr:rowOff>15240</xdr:rowOff>
    </xdr:to>
    <xdr:cxnSp macro="">
      <xdr:nvCxnSpPr>
        <xdr:cNvPr id="68826" name="Straight Connector 365">
          <a:extLst>
            <a:ext uri="{FF2B5EF4-FFF2-40B4-BE49-F238E27FC236}">
              <a16:creationId xmlns:a16="http://schemas.microsoft.com/office/drawing/2014/main" id="{89A0DBB5-190A-42F6-B644-A559673D25EB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256032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19</xdr:row>
      <xdr:rowOff>15240</xdr:rowOff>
    </xdr:from>
    <xdr:to>
      <xdr:col>19</xdr:col>
      <xdr:colOff>342900</xdr:colOff>
      <xdr:row>22</xdr:row>
      <xdr:rowOff>160020</xdr:rowOff>
    </xdr:to>
    <xdr:cxnSp macro="">
      <xdr:nvCxnSpPr>
        <xdr:cNvPr id="68827" name="Straight Connector 366">
          <a:extLst>
            <a:ext uri="{FF2B5EF4-FFF2-40B4-BE49-F238E27FC236}">
              <a16:creationId xmlns:a16="http://schemas.microsoft.com/office/drawing/2014/main" id="{8A8BCEAB-2C27-4184-B123-B92E2CB6716B}"/>
            </a:ext>
          </a:extLst>
        </xdr:cNvPr>
        <xdr:cNvCxnSpPr>
          <a:cxnSpLocks noChangeShapeType="1"/>
        </xdr:cNvCxnSpPr>
      </xdr:nvCxnSpPr>
      <xdr:spPr bwMode="auto">
        <a:xfrm>
          <a:off x="9532620" y="320040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15</xdr:row>
      <xdr:rowOff>30480</xdr:rowOff>
    </xdr:from>
    <xdr:to>
      <xdr:col>19</xdr:col>
      <xdr:colOff>342900</xdr:colOff>
      <xdr:row>15</xdr:row>
      <xdr:rowOff>30480</xdr:rowOff>
    </xdr:to>
    <xdr:cxnSp macro="">
      <xdr:nvCxnSpPr>
        <xdr:cNvPr id="68828" name="Straight Connector 367">
          <a:extLst>
            <a:ext uri="{FF2B5EF4-FFF2-40B4-BE49-F238E27FC236}">
              <a16:creationId xmlns:a16="http://schemas.microsoft.com/office/drawing/2014/main" id="{A979DDFA-C7AA-43EB-A25E-FC72DDF4FBC1}"/>
            </a:ext>
          </a:extLst>
        </xdr:cNvPr>
        <xdr:cNvCxnSpPr>
          <a:cxnSpLocks noChangeShapeType="1"/>
        </xdr:cNvCxnSpPr>
      </xdr:nvCxnSpPr>
      <xdr:spPr bwMode="auto">
        <a:xfrm>
          <a:off x="9532620" y="254508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11</xdr:row>
      <xdr:rowOff>60960</xdr:rowOff>
    </xdr:from>
    <xdr:to>
      <xdr:col>19</xdr:col>
      <xdr:colOff>342900</xdr:colOff>
      <xdr:row>15</xdr:row>
      <xdr:rowOff>30480</xdr:rowOff>
    </xdr:to>
    <xdr:cxnSp macro="">
      <xdr:nvCxnSpPr>
        <xdr:cNvPr id="68829" name="Straight Connector 368">
          <a:extLst>
            <a:ext uri="{FF2B5EF4-FFF2-40B4-BE49-F238E27FC236}">
              <a16:creationId xmlns:a16="http://schemas.microsoft.com/office/drawing/2014/main" id="{AFDADBE1-0C6F-457F-9E14-4F13E70CEE40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190500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15</xdr:row>
      <xdr:rowOff>30480</xdr:rowOff>
    </xdr:from>
    <xdr:to>
      <xdr:col>19</xdr:col>
      <xdr:colOff>342900</xdr:colOff>
      <xdr:row>19</xdr:row>
      <xdr:rowOff>7620</xdr:rowOff>
    </xdr:to>
    <xdr:cxnSp macro="">
      <xdr:nvCxnSpPr>
        <xdr:cNvPr id="68830" name="Straight Connector 369">
          <a:extLst>
            <a:ext uri="{FF2B5EF4-FFF2-40B4-BE49-F238E27FC236}">
              <a16:creationId xmlns:a16="http://schemas.microsoft.com/office/drawing/2014/main" id="{8CF7BA87-432D-42BD-9A7B-38565C6B8040}"/>
            </a:ext>
          </a:extLst>
        </xdr:cNvPr>
        <xdr:cNvCxnSpPr>
          <a:cxnSpLocks noChangeShapeType="1"/>
        </xdr:cNvCxnSpPr>
      </xdr:nvCxnSpPr>
      <xdr:spPr bwMode="auto">
        <a:xfrm>
          <a:off x="9532620" y="254508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11</xdr:row>
      <xdr:rowOff>45720</xdr:rowOff>
    </xdr:from>
    <xdr:to>
      <xdr:col>19</xdr:col>
      <xdr:colOff>342900</xdr:colOff>
      <xdr:row>11</xdr:row>
      <xdr:rowOff>45720</xdr:rowOff>
    </xdr:to>
    <xdr:cxnSp macro="">
      <xdr:nvCxnSpPr>
        <xdr:cNvPr id="68831" name="Straight Connector 370">
          <a:extLst>
            <a:ext uri="{FF2B5EF4-FFF2-40B4-BE49-F238E27FC236}">
              <a16:creationId xmlns:a16="http://schemas.microsoft.com/office/drawing/2014/main" id="{AA81ABBF-77BC-415F-9C07-7C36E448AD81}"/>
            </a:ext>
          </a:extLst>
        </xdr:cNvPr>
        <xdr:cNvCxnSpPr>
          <a:cxnSpLocks noChangeShapeType="1"/>
        </xdr:cNvCxnSpPr>
      </xdr:nvCxnSpPr>
      <xdr:spPr bwMode="auto">
        <a:xfrm>
          <a:off x="9532620" y="188976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</xdr:row>
      <xdr:rowOff>68580</xdr:rowOff>
    </xdr:from>
    <xdr:to>
      <xdr:col>19</xdr:col>
      <xdr:colOff>342900</xdr:colOff>
      <xdr:row>11</xdr:row>
      <xdr:rowOff>45720</xdr:rowOff>
    </xdr:to>
    <xdr:cxnSp macro="">
      <xdr:nvCxnSpPr>
        <xdr:cNvPr id="68832" name="Straight Connector 371">
          <a:extLst>
            <a:ext uri="{FF2B5EF4-FFF2-40B4-BE49-F238E27FC236}">
              <a16:creationId xmlns:a16="http://schemas.microsoft.com/office/drawing/2014/main" id="{9987AC90-DA8F-4B1E-ACE2-5F545DE38257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124206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11</xdr:row>
      <xdr:rowOff>45720</xdr:rowOff>
    </xdr:from>
    <xdr:to>
      <xdr:col>19</xdr:col>
      <xdr:colOff>342900</xdr:colOff>
      <xdr:row>15</xdr:row>
      <xdr:rowOff>15240</xdr:rowOff>
    </xdr:to>
    <xdr:cxnSp macro="">
      <xdr:nvCxnSpPr>
        <xdr:cNvPr id="68833" name="Straight Connector 372">
          <a:extLst>
            <a:ext uri="{FF2B5EF4-FFF2-40B4-BE49-F238E27FC236}">
              <a16:creationId xmlns:a16="http://schemas.microsoft.com/office/drawing/2014/main" id="{2EB36074-78E6-4EDC-A9C8-592ABDBC0E8F}"/>
            </a:ext>
          </a:extLst>
        </xdr:cNvPr>
        <xdr:cNvCxnSpPr>
          <a:cxnSpLocks noChangeShapeType="1"/>
        </xdr:cNvCxnSpPr>
      </xdr:nvCxnSpPr>
      <xdr:spPr bwMode="auto">
        <a:xfrm>
          <a:off x="9532620" y="188976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</xdr:row>
      <xdr:rowOff>60960</xdr:rowOff>
    </xdr:from>
    <xdr:to>
      <xdr:col>19</xdr:col>
      <xdr:colOff>342900</xdr:colOff>
      <xdr:row>7</xdr:row>
      <xdr:rowOff>60960</xdr:rowOff>
    </xdr:to>
    <xdr:cxnSp macro="">
      <xdr:nvCxnSpPr>
        <xdr:cNvPr id="68834" name="Straight Connector 373">
          <a:extLst>
            <a:ext uri="{FF2B5EF4-FFF2-40B4-BE49-F238E27FC236}">
              <a16:creationId xmlns:a16="http://schemas.microsoft.com/office/drawing/2014/main" id="{410FD58B-DFFC-424F-85CE-782781BBEC9E}"/>
            </a:ext>
          </a:extLst>
        </xdr:cNvPr>
        <xdr:cNvCxnSpPr>
          <a:cxnSpLocks noChangeShapeType="1"/>
        </xdr:cNvCxnSpPr>
      </xdr:nvCxnSpPr>
      <xdr:spPr bwMode="auto">
        <a:xfrm>
          <a:off x="9532620" y="1234440"/>
          <a:ext cx="40386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3</xdr:row>
      <xdr:rowOff>83820</xdr:rowOff>
    </xdr:from>
    <xdr:to>
      <xdr:col>19</xdr:col>
      <xdr:colOff>342900</xdr:colOff>
      <xdr:row>7</xdr:row>
      <xdr:rowOff>60960</xdr:rowOff>
    </xdr:to>
    <xdr:cxnSp macro="">
      <xdr:nvCxnSpPr>
        <xdr:cNvPr id="68835" name="Straight Connector 374">
          <a:extLst>
            <a:ext uri="{FF2B5EF4-FFF2-40B4-BE49-F238E27FC236}">
              <a16:creationId xmlns:a16="http://schemas.microsoft.com/office/drawing/2014/main" id="{618621A5-5769-4BA7-8147-AA8E12FD9049}"/>
            </a:ext>
          </a:extLst>
        </xdr:cNvPr>
        <xdr:cNvCxnSpPr>
          <a:cxnSpLocks noChangeShapeType="1"/>
        </xdr:cNvCxnSpPr>
      </xdr:nvCxnSpPr>
      <xdr:spPr bwMode="auto">
        <a:xfrm flipV="1">
          <a:off x="9532620" y="586740"/>
          <a:ext cx="403860" cy="64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548640</xdr:colOff>
      <xdr:row>7</xdr:row>
      <xdr:rowOff>60960</xdr:rowOff>
    </xdr:from>
    <xdr:to>
      <xdr:col>19</xdr:col>
      <xdr:colOff>342900</xdr:colOff>
      <xdr:row>11</xdr:row>
      <xdr:rowOff>30480</xdr:rowOff>
    </xdr:to>
    <xdr:cxnSp macro="">
      <xdr:nvCxnSpPr>
        <xdr:cNvPr id="68836" name="Straight Connector 375">
          <a:extLst>
            <a:ext uri="{FF2B5EF4-FFF2-40B4-BE49-F238E27FC236}">
              <a16:creationId xmlns:a16="http://schemas.microsoft.com/office/drawing/2014/main" id="{43BE8F80-B194-4D52-8C28-14CEF2492593}"/>
            </a:ext>
          </a:extLst>
        </xdr:cNvPr>
        <xdr:cNvCxnSpPr>
          <a:cxnSpLocks noChangeShapeType="1"/>
        </xdr:cNvCxnSpPr>
      </xdr:nvCxnSpPr>
      <xdr:spPr bwMode="auto">
        <a:xfrm>
          <a:off x="9532620" y="1234440"/>
          <a:ext cx="403860" cy="64008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none" w="sm" len="med"/>
          <a:tailEnd type="arrow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144780</xdr:colOff>
      <xdr:row>13</xdr:row>
      <xdr:rowOff>7620</xdr:rowOff>
    </xdr:from>
    <xdr:to>
      <xdr:col>15</xdr:col>
      <xdr:colOff>7620</xdr:colOff>
      <xdr:row>27</xdr:row>
      <xdr:rowOff>121920</xdr:rowOff>
    </xdr:to>
    <xdr:graphicFrame macro="">
      <xdr:nvGraphicFramePr>
        <xdr:cNvPr id="17503" name="Bond Option Display">
          <a:extLst>
            <a:ext uri="{FF2B5EF4-FFF2-40B4-BE49-F238E27FC236}">
              <a16:creationId xmlns:a16="http://schemas.microsoft.com/office/drawing/2014/main" id="{590F410D-C283-437E-914D-E170D5A5B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14</xdr:row>
          <xdr:rowOff>76200</xdr:rowOff>
        </xdr:from>
        <xdr:to>
          <xdr:col>6</xdr:col>
          <xdr:colOff>213360</xdr:colOff>
          <xdr:row>16</xdr:row>
          <xdr:rowOff>0</xdr:rowOff>
        </xdr:to>
        <xdr:sp macro="" textlink="">
          <xdr:nvSpPr>
            <xdr:cNvPr id="17481" name="Calc_Button" hidden="1">
              <a:extLst>
                <a:ext uri="{63B3BB69-23CF-44E3-9099-C40C66FF867C}">
                  <a14:compatExt spid="_x0000_s17481"/>
                </a:ext>
                <a:ext uri="{FF2B5EF4-FFF2-40B4-BE49-F238E27FC236}">
                  <a16:creationId xmlns:a16="http://schemas.microsoft.com/office/drawing/2014/main" id="{636E619D-E3F1-409E-8AC9-532875081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19</xdr:row>
          <xdr:rowOff>30480</xdr:rowOff>
        </xdr:from>
        <xdr:to>
          <xdr:col>6</xdr:col>
          <xdr:colOff>213360</xdr:colOff>
          <xdr:row>20</xdr:row>
          <xdr:rowOff>121920</xdr:rowOff>
        </xdr:to>
        <xdr:sp macro="" textlink="">
          <xdr:nvSpPr>
            <xdr:cNvPr id="17482" name="Tree_Display_Button" hidden="1">
              <a:extLst>
                <a:ext uri="{63B3BB69-23CF-44E3-9099-C40C66FF867C}">
                  <a14:compatExt spid="_x0000_s17482"/>
                </a:ext>
                <a:ext uri="{FF2B5EF4-FFF2-40B4-BE49-F238E27FC236}">
                  <a16:creationId xmlns:a16="http://schemas.microsoft.com/office/drawing/2014/main" id="{2A959615-8666-413A-A222-1D112F9A2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10</xdr:row>
          <xdr:rowOff>38100</xdr:rowOff>
        </xdr:from>
        <xdr:to>
          <xdr:col>13</xdr:col>
          <xdr:colOff>350520</xdr:colOff>
          <xdr:row>11</xdr:row>
          <xdr:rowOff>144780</xdr:rowOff>
        </xdr:to>
        <xdr:sp macro="" textlink="">
          <xdr:nvSpPr>
            <xdr:cNvPr id="17483" name="Button 75" hidden="1">
              <a:extLst>
                <a:ext uri="{63B3BB69-23CF-44E3-9099-C40C66FF867C}">
                  <a14:compatExt spid="_x0000_s17483"/>
                </a:ext>
                <a:ext uri="{FF2B5EF4-FFF2-40B4-BE49-F238E27FC236}">
                  <a16:creationId xmlns:a16="http://schemas.microsoft.com/office/drawing/2014/main" id="{6547A82E-A11D-4234-8751-4D38D78AF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274320</xdr:colOff>
          <xdr:row>12</xdr:row>
          <xdr:rowOff>121920</xdr:rowOff>
        </xdr:from>
        <xdr:to>
          <xdr:col>6</xdr:col>
          <xdr:colOff>251460</xdr:colOff>
          <xdr:row>14</xdr:row>
          <xdr:rowOff>7620</xdr:rowOff>
        </xdr:to>
        <xdr:sp macro="" textlink="">
          <xdr:nvSpPr>
            <xdr:cNvPr id="17484" name="Option Button 76" hidden="1">
              <a:extLst>
                <a:ext uri="{63B3BB69-23CF-44E3-9099-C40C66FF867C}">
                  <a14:compatExt spid="_x0000_s17484"/>
                </a:ext>
                <a:ext uri="{FF2B5EF4-FFF2-40B4-BE49-F238E27FC236}">
                  <a16:creationId xmlns:a16="http://schemas.microsoft.com/office/drawing/2014/main" id="{6FB8D466-A3D3-434D-B5F8-6BA595327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12</xdr:row>
          <xdr:rowOff>121920</xdr:rowOff>
        </xdr:from>
        <xdr:to>
          <xdr:col>5</xdr:col>
          <xdr:colOff>182880</xdr:colOff>
          <xdr:row>14</xdr:row>
          <xdr:rowOff>7620</xdr:rowOff>
        </xdr:to>
        <xdr:sp macro="" textlink="">
          <xdr:nvSpPr>
            <xdr:cNvPr id="17485" name="Option Button 77" hidden="1">
              <a:extLst>
                <a:ext uri="{63B3BB69-23CF-44E3-9099-C40C66FF867C}">
                  <a14:compatExt spid="_x0000_s17485"/>
                </a:ext>
                <a:ext uri="{FF2B5EF4-FFF2-40B4-BE49-F238E27FC236}">
                  <a16:creationId xmlns:a16="http://schemas.microsoft.com/office/drawing/2014/main" id="{2160F9DE-3343-46EB-9DDF-A3A0896E9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10</xdr:row>
          <xdr:rowOff>144780</xdr:rowOff>
        </xdr:from>
        <xdr:to>
          <xdr:col>5</xdr:col>
          <xdr:colOff>487680</xdr:colOff>
          <xdr:row>12</xdr:row>
          <xdr:rowOff>30480</xdr:rowOff>
        </xdr:to>
        <xdr:sp macro="" textlink="">
          <xdr:nvSpPr>
            <xdr:cNvPr id="17486" name="Check Box 78" hidden="1">
              <a:extLst>
                <a:ext uri="{63B3BB69-23CF-44E3-9099-C40C66FF867C}">
                  <a14:compatExt spid="_x0000_s17486"/>
                </a:ext>
                <a:ext uri="{FF2B5EF4-FFF2-40B4-BE49-F238E27FC236}">
                  <a16:creationId xmlns:a16="http://schemas.microsoft.com/office/drawing/2014/main" id="{00F091B5-0F3F-4491-BEC1-D537115F0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Quoted Strike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</xdr:row>
          <xdr:rowOff>0</xdr:rowOff>
        </xdr:from>
        <xdr:to>
          <xdr:col>5</xdr:col>
          <xdr:colOff>502920</xdr:colOff>
          <xdr:row>10</xdr:row>
          <xdr:rowOff>45720</xdr:rowOff>
        </xdr:to>
        <xdr:sp macro="" textlink="">
          <xdr:nvSpPr>
            <xdr:cNvPr id="17487" name="Check Box 79" hidden="1">
              <a:extLst>
                <a:ext uri="{63B3BB69-23CF-44E3-9099-C40C66FF867C}">
                  <a14:compatExt spid="_x0000_s17487"/>
                </a:ext>
                <a:ext uri="{FF2B5EF4-FFF2-40B4-BE49-F238E27FC236}">
                  <a16:creationId xmlns:a16="http://schemas.microsoft.com/office/drawing/2014/main" id="{8A2B2361-1B46-435B-8E43-97216413B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Imply Volatility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2</xdr:row>
          <xdr:rowOff>22860</xdr:rowOff>
        </xdr:from>
        <xdr:to>
          <xdr:col>13</xdr:col>
          <xdr:colOff>594360</xdr:colOff>
          <xdr:row>3</xdr:row>
          <xdr:rowOff>60960</xdr:rowOff>
        </xdr:to>
        <xdr:sp macro="" textlink="">
          <xdr:nvSpPr>
            <xdr:cNvPr id="17489" name="Drop Down 81" hidden="1">
              <a:extLst>
                <a:ext uri="{63B3BB69-23CF-44E3-9099-C40C66FF867C}">
                  <a14:compatExt spid="_x0000_s17489"/>
                </a:ext>
                <a:ext uri="{FF2B5EF4-FFF2-40B4-BE49-F238E27FC236}">
                  <a16:creationId xmlns:a16="http://schemas.microsoft.com/office/drawing/2014/main" id="{72C631FD-6213-4340-B4E1-C29EA0A1F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5</xdr:row>
          <xdr:rowOff>22860</xdr:rowOff>
        </xdr:from>
        <xdr:to>
          <xdr:col>13</xdr:col>
          <xdr:colOff>594360</xdr:colOff>
          <xdr:row>6</xdr:row>
          <xdr:rowOff>60960</xdr:rowOff>
        </xdr:to>
        <xdr:sp macro="" textlink="">
          <xdr:nvSpPr>
            <xdr:cNvPr id="17490" name="Drop Down 82" hidden="1">
              <a:extLst>
                <a:ext uri="{63B3BB69-23CF-44E3-9099-C40C66FF867C}">
                  <a14:compatExt spid="_x0000_s17490"/>
                </a:ext>
                <a:ext uri="{FF2B5EF4-FFF2-40B4-BE49-F238E27FC236}">
                  <a16:creationId xmlns:a16="http://schemas.microsoft.com/office/drawing/2014/main" id="{F81FB8F9-1045-46A6-BB12-894DA2B97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9</xdr:row>
          <xdr:rowOff>7620</xdr:rowOff>
        </xdr:from>
        <xdr:to>
          <xdr:col>3</xdr:col>
          <xdr:colOff>594360</xdr:colOff>
          <xdr:row>10</xdr:row>
          <xdr:rowOff>45720</xdr:rowOff>
        </xdr:to>
        <xdr:sp macro="" textlink="">
          <xdr:nvSpPr>
            <xdr:cNvPr id="17491" name="Drop Down 83" hidden="1">
              <a:extLst>
                <a:ext uri="{63B3BB69-23CF-44E3-9099-C40C66FF867C}">
                  <a14:compatExt spid="_x0000_s17491"/>
                </a:ext>
                <a:ext uri="{FF2B5EF4-FFF2-40B4-BE49-F238E27FC236}">
                  <a16:creationId xmlns:a16="http://schemas.microsoft.com/office/drawing/2014/main" id="{3B9C3D4C-5781-4FCA-9A81-734129A9C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3</xdr:row>
          <xdr:rowOff>22860</xdr:rowOff>
        </xdr:from>
        <xdr:to>
          <xdr:col>6</xdr:col>
          <xdr:colOff>144780</xdr:colOff>
          <xdr:row>4</xdr:row>
          <xdr:rowOff>60960</xdr:rowOff>
        </xdr:to>
        <xdr:sp macro="" textlink="">
          <xdr:nvSpPr>
            <xdr:cNvPr id="17492" name="Drop Down 84" hidden="1">
              <a:extLst>
                <a:ext uri="{63B3BB69-23CF-44E3-9099-C40C66FF867C}">
                  <a14:compatExt spid="_x0000_s17492"/>
                </a:ext>
                <a:ext uri="{FF2B5EF4-FFF2-40B4-BE49-F238E27FC236}">
                  <a16:creationId xmlns:a16="http://schemas.microsoft.com/office/drawing/2014/main" id="{B15B7D87-7F5E-417E-81E2-32E79A915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</xdr:colOff>
      <xdr:row>13</xdr:row>
      <xdr:rowOff>7620</xdr:rowOff>
    </xdr:from>
    <xdr:to>
      <xdr:col>17</xdr:col>
      <xdr:colOff>480060</xdr:colOff>
      <xdr:row>35</xdr:row>
      <xdr:rowOff>68580</xdr:rowOff>
    </xdr:to>
    <xdr:graphicFrame macro="">
      <xdr:nvGraphicFramePr>
        <xdr:cNvPr id="18460" name="Swap Option Display">
          <a:extLst>
            <a:ext uri="{FF2B5EF4-FFF2-40B4-BE49-F238E27FC236}">
              <a16:creationId xmlns:a16="http://schemas.microsoft.com/office/drawing/2014/main" id="{F31AD2CA-A965-4BA1-85CE-A40F33162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30480</xdr:rowOff>
        </xdr:from>
        <xdr:to>
          <xdr:col>3</xdr:col>
          <xdr:colOff>640080</xdr:colOff>
          <xdr:row>3</xdr:row>
          <xdr:rowOff>45720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DC490002-A38B-443A-851D-FCD2F67F1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167640</xdr:rowOff>
        </xdr:from>
        <xdr:to>
          <xdr:col>3</xdr:col>
          <xdr:colOff>617220</xdr:colOff>
          <xdr:row>11</xdr:row>
          <xdr:rowOff>22860</xdr:rowOff>
        </xdr:to>
        <xdr:sp macro="" textlink="">
          <xdr:nvSpPr>
            <xdr:cNvPr id="18434" name="Drop Dow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58CD15B5-6325-4DB1-9418-1B553911C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</xdr:row>
          <xdr:rowOff>144780</xdr:rowOff>
        </xdr:from>
        <xdr:to>
          <xdr:col>6</xdr:col>
          <xdr:colOff>320040</xdr:colOff>
          <xdr:row>13</xdr:row>
          <xdr:rowOff>30480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145B4E94-9E46-48EB-BF46-3B0716B28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Imply Volatility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</xdr:row>
          <xdr:rowOff>144780</xdr:rowOff>
        </xdr:from>
        <xdr:to>
          <xdr:col>6</xdr:col>
          <xdr:colOff>403860</xdr:colOff>
          <xdr:row>8</xdr:row>
          <xdr:rowOff>30480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242FE97B-412B-4B12-B6B6-BB9A37E5D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Imply Breakeven 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441960</xdr:colOff>
          <xdr:row>15</xdr:row>
          <xdr:rowOff>68580</xdr:rowOff>
        </xdr:from>
        <xdr:to>
          <xdr:col>6</xdr:col>
          <xdr:colOff>266700</xdr:colOff>
          <xdr:row>16</xdr:row>
          <xdr:rowOff>121920</xdr:rowOff>
        </xdr:to>
        <xdr:sp macro="" textlink="">
          <xdr:nvSpPr>
            <xdr:cNvPr id="18437" name="Swap_Call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45D8D23A-5FEA-4B73-96C3-80224A275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441960</xdr:colOff>
          <xdr:row>13</xdr:row>
          <xdr:rowOff>106680</xdr:rowOff>
        </xdr:from>
        <xdr:to>
          <xdr:col>6</xdr:col>
          <xdr:colOff>220980</xdr:colOff>
          <xdr:row>14</xdr:row>
          <xdr:rowOff>160020</xdr:rowOff>
        </xdr:to>
        <xdr:sp macro="" textlink="">
          <xdr:nvSpPr>
            <xdr:cNvPr id="18438" name="Swap_Put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99DD4DE7-B39B-4F3E-9E20-EF941FA12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289560</xdr:colOff>
          <xdr:row>20</xdr:row>
          <xdr:rowOff>22860</xdr:rowOff>
        </xdr:from>
        <xdr:to>
          <xdr:col>6</xdr:col>
          <xdr:colOff>281940</xdr:colOff>
          <xdr:row>21</xdr:row>
          <xdr:rowOff>121920</xdr:rowOff>
        </xdr:to>
        <xdr:sp macro="" textlink="">
          <xdr:nvSpPr>
            <xdr:cNvPr id="18439" name="Calc_Button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55AFF741-20F2-4F32-A45C-E70DC4ED3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2</xdr:row>
          <xdr:rowOff>22860</xdr:rowOff>
        </xdr:from>
        <xdr:to>
          <xdr:col>13</xdr:col>
          <xdr:colOff>617220</xdr:colOff>
          <xdr:row>3</xdr:row>
          <xdr:rowOff>60960</xdr:rowOff>
        </xdr:to>
        <xdr:sp macro="" textlink="">
          <xdr:nvSpPr>
            <xdr:cNvPr id="18446" name="Drop Dow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9D8053E-C178-430B-8D53-6A1BF8004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5</xdr:row>
          <xdr:rowOff>22860</xdr:rowOff>
        </xdr:from>
        <xdr:to>
          <xdr:col>13</xdr:col>
          <xdr:colOff>617220</xdr:colOff>
          <xdr:row>6</xdr:row>
          <xdr:rowOff>45720</xdr:rowOff>
        </xdr:to>
        <xdr:sp macro="" textlink="">
          <xdr:nvSpPr>
            <xdr:cNvPr id="18447" name="Drop Down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73543B20-ADF6-43FD-A4C4-CCA145AF8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10</xdr:row>
          <xdr:rowOff>30480</xdr:rowOff>
        </xdr:from>
        <xdr:to>
          <xdr:col>13</xdr:col>
          <xdr:colOff>426720</xdr:colOff>
          <xdr:row>11</xdr:row>
          <xdr:rowOff>137160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9DF45EC6-2702-41B7-B156-7DD9CDBB8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4</xdr:row>
          <xdr:rowOff>22860</xdr:rowOff>
        </xdr:from>
        <xdr:to>
          <xdr:col>6</xdr:col>
          <xdr:colOff>167640</xdr:colOff>
          <xdr:row>5</xdr:row>
          <xdr:rowOff>60960</xdr:rowOff>
        </xdr:to>
        <xdr:sp macro="" textlink="">
          <xdr:nvSpPr>
            <xdr:cNvPr id="18449" name="Drop Down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19156AC8-E986-4482-9AE6-98803F538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45720</xdr:rowOff>
    </xdr:from>
    <xdr:to>
      <xdr:col>16</xdr:col>
      <xdr:colOff>167640</xdr:colOff>
      <xdr:row>22</xdr:row>
      <xdr:rowOff>121920</xdr:rowOff>
    </xdr:to>
    <xdr:graphicFrame macro="">
      <xdr:nvGraphicFramePr>
        <xdr:cNvPr id="19472" name="Chart 1">
          <a:extLst>
            <a:ext uri="{FF2B5EF4-FFF2-40B4-BE49-F238E27FC236}">
              <a16:creationId xmlns:a16="http://schemas.microsoft.com/office/drawing/2014/main" id="{73F78BE8-5657-4971-AF82-BFFF8C25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20</xdr:row>
          <xdr:rowOff>106680</xdr:rowOff>
        </xdr:from>
        <xdr:to>
          <xdr:col>9</xdr:col>
          <xdr:colOff>22860</xdr:colOff>
          <xdr:row>22</xdr:row>
          <xdr:rowOff>38100</xdr:rowOff>
        </xdr:to>
        <xdr:sp macro="" textlink="">
          <xdr:nvSpPr>
            <xdr:cNvPr id="19457" name="Calc_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AA977955-A517-4F2B-8EDA-5A43593E9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21</xdr:row>
          <xdr:rowOff>7620</xdr:rowOff>
        </xdr:from>
        <xdr:to>
          <xdr:col>5</xdr:col>
          <xdr:colOff>396240</xdr:colOff>
          <xdr:row>22</xdr:row>
          <xdr:rowOff>45720</xdr:rowOff>
        </xdr:to>
        <xdr:sp macro="" textlink="">
          <xdr:nvSpPr>
            <xdr:cNvPr id="19458" name="Drop Dow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B2696C01-275D-4C97-BC05-6E897271A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17</xdr:row>
          <xdr:rowOff>99060</xdr:rowOff>
        </xdr:from>
        <xdr:to>
          <xdr:col>9</xdr:col>
          <xdr:colOff>60960</xdr:colOff>
          <xdr:row>18</xdr:row>
          <xdr:rowOff>160020</xdr:rowOff>
        </xdr:to>
        <xdr:sp macro="" textlink="">
          <xdr:nvSpPr>
            <xdr:cNvPr id="19460" name="Option 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3974F8-486C-4206-980F-F8B1993C8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Spreads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18</xdr:row>
          <xdr:rowOff>137160</xdr:rowOff>
        </xdr:from>
        <xdr:to>
          <xdr:col>9</xdr:col>
          <xdr:colOff>60960</xdr:colOff>
          <xdr:row>20</xdr:row>
          <xdr:rowOff>30480</xdr:rowOff>
        </xdr:to>
        <xdr:sp macro="" textlink="">
          <xdr:nvSpPr>
            <xdr:cNvPr id="19461" name="Option 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BD1B7934-B35D-457B-A2C6-7708E00AC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Imply Hazard Rates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1158240</xdr:colOff>
          <xdr:row>12</xdr:row>
          <xdr:rowOff>7620</xdr:rowOff>
        </xdr:from>
        <xdr:to>
          <xdr:col>3</xdr:col>
          <xdr:colOff>60960</xdr:colOff>
          <xdr:row>13</xdr:row>
          <xdr:rowOff>106680</xdr:rowOff>
        </xdr:to>
        <xdr:sp macro="" textlink="">
          <xdr:nvSpPr>
            <xdr:cNvPr id="20481" name="Calc_Butto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A1A46ED5-478E-4817-93FC-BC43D563C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it-IT" sz="11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137160</xdr:rowOff>
        </xdr:from>
        <xdr:to>
          <xdr:col>2</xdr:col>
          <xdr:colOff>1112520</xdr:colOff>
          <xdr:row>8</xdr:row>
          <xdr:rowOff>7620</xdr:rowOff>
        </xdr:to>
        <xdr:sp macro="" textlink="">
          <xdr:nvSpPr>
            <xdr:cNvPr id="20482" name="Drop Dow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EDB4DEE2-14CD-44B0-8402-6E6870DC4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18</xdr:row>
          <xdr:rowOff>137160</xdr:rowOff>
        </xdr:from>
        <xdr:to>
          <xdr:col>8</xdr:col>
          <xdr:colOff>106680</xdr:colOff>
          <xdr:row>20</xdr:row>
          <xdr:rowOff>30480</xdr:rowOff>
        </xdr:to>
        <xdr:sp macro="" textlink="">
          <xdr:nvSpPr>
            <xdr:cNvPr id="20483" name="Check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21B20B26-846C-43C1-9717-21D972E98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Upfront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15</xdr:row>
          <xdr:rowOff>38100</xdr:rowOff>
        </xdr:from>
        <xdr:to>
          <xdr:col>2</xdr:col>
          <xdr:colOff>1028700</xdr:colOff>
          <xdr:row>16</xdr:row>
          <xdr:rowOff>99060</xdr:rowOff>
        </xdr:to>
        <xdr:sp macro="" textlink="">
          <xdr:nvSpPr>
            <xdr:cNvPr id="20484" name="Check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4646261-536F-4937-9645-D7334400B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Imply Corr.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19</xdr:row>
          <xdr:rowOff>137160</xdr:rowOff>
        </xdr:from>
        <xdr:to>
          <xdr:col>8</xdr:col>
          <xdr:colOff>106680</xdr:colOff>
          <xdr:row>21</xdr:row>
          <xdr:rowOff>30480</xdr:rowOff>
        </xdr:to>
        <xdr:sp macro="" textlink="">
          <xdr:nvSpPr>
            <xdr:cNvPr id="20485" name="Check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90BE254A-D0A3-410E-BC64-0F617C7B7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Upfront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20</xdr:row>
          <xdr:rowOff>137160</xdr:rowOff>
        </xdr:from>
        <xdr:to>
          <xdr:col>8</xdr:col>
          <xdr:colOff>106680</xdr:colOff>
          <xdr:row>22</xdr:row>
          <xdr:rowOff>30480</xdr:rowOff>
        </xdr:to>
        <xdr:sp macro="" textlink="">
          <xdr:nvSpPr>
            <xdr:cNvPr id="20486" name="Check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520EABE8-145A-4887-AFBD-8256F9FF4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Upfront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21</xdr:row>
          <xdr:rowOff>137160</xdr:rowOff>
        </xdr:from>
        <xdr:to>
          <xdr:col>8</xdr:col>
          <xdr:colOff>106680</xdr:colOff>
          <xdr:row>23</xdr:row>
          <xdr:rowOff>30480</xdr:rowOff>
        </xdr:to>
        <xdr:sp macro="" textlink="">
          <xdr:nvSpPr>
            <xdr:cNvPr id="20487" name="Check Box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F6F98F26-B071-4386-8978-447F32C75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Upfront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22</xdr:row>
          <xdr:rowOff>144780</xdr:rowOff>
        </xdr:from>
        <xdr:to>
          <xdr:col>8</xdr:col>
          <xdr:colOff>106680</xdr:colOff>
          <xdr:row>24</xdr:row>
          <xdr:rowOff>38100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AFDAFA5F-8469-49BC-A3DD-7E5DC7B03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Upfront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showGridLines="0" workbookViewId="0">
      <selection activeCell="X24" sqref="X24"/>
    </sheetView>
  </sheetViews>
  <sheetFormatPr defaultRowHeight="13.2" customHeight="1" x14ac:dyDescent="0.25"/>
  <cols>
    <col min="1" max="1" width="8.88671875" customWidth="1"/>
    <col min="2" max="2" width="2.6640625" customWidth="1"/>
    <col min="3" max="3" width="8.88671875" customWidth="1"/>
    <col min="4" max="4" width="2.6640625" customWidth="1"/>
    <col min="5" max="5" width="8.88671875" customWidth="1"/>
    <col min="6" max="6" width="2.6640625" customWidth="1"/>
    <col min="7" max="7" width="8.88671875" customWidth="1"/>
    <col min="8" max="8" width="2.6640625" customWidth="1"/>
    <col min="9" max="9" width="8.88671875" customWidth="1"/>
    <col min="10" max="10" width="2.6640625" customWidth="1"/>
    <col min="12" max="12" width="8.88671875" customWidth="1"/>
    <col min="14" max="14" width="8.88671875" customWidth="1"/>
    <col min="16" max="16" width="8.88671875" customWidth="1"/>
    <col min="18" max="18" width="8.88671875" customWidth="1"/>
    <col min="20" max="20" width="8.88671875" customWidth="1"/>
  </cols>
  <sheetData>
    <row r="1" spans="1:11" ht="13.2" customHeight="1" x14ac:dyDescent="0.25">
      <c r="A1" t="s">
        <v>0</v>
      </c>
    </row>
    <row r="2" spans="1:11" ht="13.2" customHeight="1" x14ac:dyDescent="0.25">
      <c r="A2" t="s">
        <v>1</v>
      </c>
    </row>
    <row r="3" spans="1:11" ht="13.2" customHeight="1" x14ac:dyDescent="0.25">
      <c r="A3" t="s">
        <v>2</v>
      </c>
    </row>
    <row r="4" spans="1:11" ht="13.2" customHeight="1" x14ac:dyDescent="0.25">
      <c r="A4" t="s">
        <v>3</v>
      </c>
    </row>
    <row r="6" spans="1:11" ht="13.2" customHeight="1" x14ac:dyDescent="0.25">
      <c r="A6" t="s">
        <v>152</v>
      </c>
    </row>
    <row r="7" spans="1:11" ht="13.2" customHeight="1" x14ac:dyDescent="0.25">
      <c r="A7" t="s">
        <v>177</v>
      </c>
      <c r="K7" s="95">
        <v>87.447621247053476</v>
      </c>
    </row>
    <row r="8" spans="1:11" ht="13.2" customHeight="1" x14ac:dyDescent="0.25">
      <c r="A8" t="s">
        <v>178</v>
      </c>
      <c r="K8" s="95">
        <v>0</v>
      </c>
    </row>
    <row r="9" spans="1:11" ht="13.2" customHeight="1" x14ac:dyDescent="0.25">
      <c r="A9" t="s">
        <v>179</v>
      </c>
      <c r="I9" s="95">
        <v>78.197415796768638</v>
      </c>
    </row>
    <row r="10" spans="1:11" ht="13.2" customHeight="1" x14ac:dyDescent="0.25">
      <c r="A10" t="s">
        <v>180</v>
      </c>
      <c r="I10" s="95">
        <v>0</v>
      </c>
    </row>
    <row r="11" spans="1:11" ht="13.2" customHeight="1" x14ac:dyDescent="0.25">
      <c r="A11" t="s">
        <v>181</v>
      </c>
      <c r="G11" s="95">
        <v>69.925696663804416</v>
      </c>
      <c r="K11" s="95">
        <v>69.925696663804416</v>
      </c>
    </row>
    <row r="12" spans="1:11" ht="13.2" customHeight="1" x14ac:dyDescent="0.25">
      <c r="A12" t="s">
        <v>182</v>
      </c>
      <c r="G12" s="95">
        <v>0</v>
      </c>
      <c r="K12" s="95">
        <v>0</v>
      </c>
    </row>
    <row r="13" spans="1:11" ht="13.2" customHeight="1" x14ac:dyDescent="0.25">
      <c r="E13" s="95">
        <v>62.528959609435617</v>
      </c>
      <c r="I13" s="95">
        <v>62.528959609435617</v>
      </c>
    </row>
    <row r="14" spans="1:11" ht="13.2" customHeight="1" x14ac:dyDescent="0.25">
      <c r="E14" s="95">
        <v>0.64569123043640664</v>
      </c>
      <c r="I14" s="95">
        <v>0</v>
      </c>
    </row>
    <row r="15" spans="1:11" ht="13.2" customHeight="1" x14ac:dyDescent="0.25">
      <c r="C15" s="95">
        <v>55.914649068663401</v>
      </c>
      <c r="G15" s="95">
        <v>55.914649068663401</v>
      </c>
      <c r="K15" s="95">
        <v>55.914649068663401</v>
      </c>
    </row>
    <row r="16" spans="1:11" ht="13.2" customHeight="1" x14ac:dyDescent="0.25">
      <c r="C16" s="95">
        <v>2.1386882124943467</v>
      </c>
      <c r="G16" s="95">
        <v>1.3015905483037853</v>
      </c>
      <c r="K16" s="95">
        <v>0</v>
      </c>
    </row>
    <row r="17" spans="1:11" ht="13.2" customHeight="1" x14ac:dyDescent="0.25">
      <c r="A17" s="95">
        <v>50</v>
      </c>
      <c r="E17" s="95">
        <v>50</v>
      </c>
      <c r="I17" s="95">
        <v>50</v>
      </c>
    </row>
    <row r="18" spans="1:11" ht="13.2" customHeight="1" x14ac:dyDescent="0.25">
      <c r="A18" s="95">
        <v>4.3499947592897366</v>
      </c>
      <c r="E18" s="95">
        <v>3.6682398465009922</v>
      </c>
      <c r="I18" s="95">
        <v>2.6237586567324489</v>
      </c>
    </row>
    <row r="19" spans="1:11" ht="13.2" customHeight="1" x14ac:dyDescent="0.25">
      <c r="C19" s="95">
        <v>44.711002244331183</v>
      </c>
      <c r="G19" s="95">
        <v>44.711002244331183</v>
      </c>
      <c r="K19" s="95">
        <v>44.711002244331183</v>
      </c>
    </row>
    <row r="20" spans="1:11" ht="13.2" customHeight="1" x14ac:dyDescent="0.25">
      <c r="C20" s="95">
        <v>6.639158104817831</v>
      </c>
      <c r="G20" s="95">
        <v>6.0984116386232508</v>
      </c>
      <c r="K20" s="103">
        <v>5.2889977556688166</v>
      </c>
    </row>
    <row r="21" spans="1:11" ht="13.2" customHeight="1" x14ac:dyDescent="0.25">
      <c r="E21" s="95">
        <v>39.981474433851766</v>
      </c>
      <c r="I21" s="95">
        <v>39.981474433851766</v>
      </c>
    </row>
    <row r="22" spans="1:11" ht="13.2" customHeight="1" x14ac:dyDescent="0.25">
      <c r="E22" s="95">
        <v>9.7306214770374453</v>
      </c>
      <c r="I22" s="95">
        <v>9.6806237255895038</v>
      </c>
    </row>
    <row r="23" spans="1:11" ht="13.2" customHeight="1" x14ac:dyDescent="0.25">
      <c r="G23" s="95">
        <v>35.752235862872325</v>
      </c>
      <c r="K23" s="95">
        <v>35.752235862872325</v>
      </c>
    </row>
    <row r="24" spans="1:11" ht="13.2" customHeight="1" x14ac:dyDescent="0.25">
      <c r="G24" s="95">
        <v>13.542574662586299</v>
      </c>
      <c r="K24" s="103">
        <v>14.247764137127675</v>
      </c>
    </row>
    <row r="25" spans="1:11" ht="13.2" customHeight="1" x14ac:dyDescent="0.25">
      <c r="I25" s="95">
        <v>31.970365958094849</v>
      </c>
    </row>
    <row r="26" spans="1:11" ht="13.2" customHeight="1" x14ac:dyDescent="0.25">
      <c r="I26" s="95">
        <v>17.659751770944759</v>
      </c>
    </row>
    <row r="27" spans="1:11" ht="13.2" customHeight="1" x14ac:dyDescent="0.25">
      <c r="K27" s="95">
        <v>28.588542082089361</v>
      </c>
    </row>
    <row r="28" spans="1:11" ht="13.2" customHeight="1" x14ac:dyDescent="0.25">
      <c r="K28" s="103">
        <v>21.411457917910639</v>
      </c>
    </row>
    <row r="29" spans="1:11" ht="13.2" customHeight="1" x14ac:dyDescent="0.25">
      <c r="A29" t="s">
        <v>4</v>
      </c>
    </row>
    <row r="30" spans="1:11" ht="13.2" customHeight="1" x14ac:dyDescent="0.25">
      <c r="A30" s="96">
        <v>0</v>
      </c>
      <c r="C30" s="96">
        <v>0.2</v>
      </c>
      <c r="E30" s="96">
        <v>0.4</v>
      </c>
      <c r="G30" s="96">
        <v>0.60000000000000009</v>
      </c>
      <c r="I30" s="96">
        <v>0.8</v>
      </c>
      <c r="K30" s="96">
        <v>1</v>
      </c>
    </row>
  </sheetData>
  <phoneticPr fontId="6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20"/>
  <sheetViews>
    <sheetView workbookViewId="0"/>
  </sheetViews>
  <sheetFormatPr defaultColWidth="9.109375" defaultRowHeight="13.2" x14ac:dyDescent="0.25"/>
  <cols>
    <col min="1" max="1" width="2.109375" style="135" customWidth="1"/>
    <col min="2" max="16384" width="9.109375" style="135"/>
  </cols>
  <sheetData>
    <row r="2" spans="2:12" ht="13.8" thickBot="1" x14ac:dyDescent="0.3"/>
    <row r="3" spans="2:12" ht="30.6" x14ac:dyDescent="0.55000000000000004">
      <c r="B3" s="159" t="s">
        <v>187</v>
      </c>
      <c r="C3" s="160"/>
      <c r="D3" s="160"/>
      <c r="E3" s="160"/>
      <c r="F3" s="160"/>
      <c r="G3" s="160"/>
      <c r="H3" s="160"/>
      <c r="I3" s="160"/>
      <c r="J3" s="160"/>
      <c r="K3" s="160"/>
      <c r="L3" s="161"/>
    </row>
    <row r="4" spans="2:12" x14ac:dyDescent="0.25">
      <c r="B4" s="142" t="s">
        <v>188</v>
      </c>
      <c r="C4" s="143"/>
      <c r="D4" s="143"/>
      <c r="E4" s="143"/>
      <c r="F4" s="143"/>
      <c r="G4" s="143"/>
      <c r="H4" s="143"/>
      <c r="I4" s="143"/>
      <c r="J4" s="143"/>
      <c r="K4" s="143"/>
      <c r="L4" s="144"/>
    </row>
    <row r="5" spans="2:12" ht="21" x14ac:dyDescent="0.4">
      <c r="B5" s="151" t="s">
        <v>189</v>
      </c>
      <c r="C5" s="152"/>
      <c r="D5" s="152"/>
      <c r="E5" s="152"/>
      <c r="F5" s="152"/>
      <c r="G5" s="152"/>
      <c r="H5" s="152"/>
      <c r="I5" s="152"/>
      <c r="J5" s="152"/>
      <c r="K5" s="152"/>
      <c r="L5" s="153"/>
    </row>
    <row r="6" spans="2:12" ht="21" x14ac:dyDescent="0.4">
      <c r="B6" s="151" t="s">
        <v>190</v>
      </c>
      <c r="C6" s="152"/>
      <c r="D6" s="152"/>
      <c r="E6" s="152"/>
      <c r="F6" s="152"/>
      <c r="G6" s="152"/>
      <c r="H6" s="152"/>
      <c r="I6" s="152"/>
      <c r="J6" s="152"/>
      <c r="K6" s="152"/>
      <c r="L6" s="153"/>
    </row>
    <row r="7" spans="2:12" x14ac:dyDescent="0.25"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1"/>
    </row>
    <row r="8" spans="2:12" ht="22.8" x14ac:dyDescent="0.4">
      <c r="B8" s="148" t="s">
        <v>191</v>
      </c>
      <c r="C8" s="149"/>
      <c r="D8" s="149"/>
      <c r="E8" s="149"/>
      <c r="F8" s="149"/>
      <c r="G8" s="149"/>
      <c r="H8" s="149"/>
      <c r="I8" s="149"/>
      <c r="J8" s="149"/>
      <c r="K8" s="149"/>
      <c r="L8" s="150"/>
    </row>
    <row r="9" spans="2:12" ht="22.8" x14ac:dyDescent="0.4">
      <c r="B9" s="148" t="s">
        <v>192</v>
      </c>
      <c r="C9" s="149"/>
      <c r="D9" s="149"/>
      <c r="E9" s="149"/>
      <c r="F9" s="149"/>
      <c r="G9" s="149"/>
      <c r="H9" s="149"/>
      <c r="I9" s="149"/>
      <c r="J9" s="149"/>
      <c r="K9" s="149"/>
      <c r="L9" s="150"/>
    </row>
    <row r="10" spans="2:12" ht="21" x14ac:dyDescent="0.4">
      <c r="B10" s="151" t="s">
        <v>193</v>
      </c>
      <c r="C10" s="152"/>
      <c r="D10" s="152"/>
      <c r="E10" s="152"/>
      <c r="F10" s="152"/>
      <c r="G10" s="152"/>
      <c r="H10" s="152"/>
      <c r="I10" s="152"/>
      <c r="J10" s="152"/>
      <c r="K10" s="152"/>
      <c r="L10" s="153"/>
    </row>
    <row r="11" spans="2:12" ht="22.8" x14ac:dyDescent="0.4">
      <c r="B11" s="148" t="s">
        <v>194</v>
      </c>
      <c r="C11" s="149"/>
      <c r="D11" s="149"/>
      <c r="E11" s="149"/>
      <c r="F11" s="149"/>
      <c r="G11" s="149"/>
      <c r="H11" s="149"/>
      <c r="I11" s="149"/>
      <c r="J11" s="149"/>
      <c r="K11" s="149"/>
      <c r="L11" s="150"/>
    </row>
    <row r="12" spans="2:12" x14ac:dyDescent="0.25">
      <c r="B12" s="139"/>
      <c r="C12" s="140"/>
      <c r="D12" s="140"/>
      <c r="E12" s="140"/>
      <c r="F12" s="140"/>
      <c r="G12" s="140"/>
      <c r="H12" s="140"/>
      <c r="I12" s="140"/>
      <c r="J12" s="140"/>
      <c r="K12" s="140"/>
      <c r="L12" s="141"/>
    </row>
    <row r="13" spans="2:12" ht="15.6" x14ac:dyDescent="0.3">
      <c r="B13" s="154" t="s">
        <v>195</v>
      </c>
      <c r="C13" s="155"/>
      <c r="D13" s="155"/>
      <c r="E13" s="155"/>
      <c r="F13" s="155"/>
      <c r="G13" s="155"/>
      <c r="H13" s="155"/>
      <c r="I13" s="155"/>
      <c r="J13" s="155"/>
      <c r="K13" s="155"/>
      <c r="L13" s="156"/>
    </row>
    <row r="14" spans="2:12" ht="15.6" x14ac:dyDescent="0.3">
      <c r="B14" s="154" t="s">
        <v>196</v>
      </c>
      <c r="C14" s="155"/>
      <c r="D14" s="155"/>
      <c r="E14" s="155"/>
      <c r="F14" s="155"/>
      <c r="G14" s="155"/>
      <c r="H14" s="155"/>
      <c r="I14" s="155"/>
      <c r="J14" s="155"/>
      <c r="K14" s="155"/>
      <c r="L14" s="156"/>
    </row>
    <row r="15" spans="2:12" x14ac:dyDescent="0.25">
      <c r="B15" s="139"/>
      <c r="C15" s="140"/>
      <c r="D15" s="140"/>
      <c r="E15" s="140"/>
      <c r="F15" s="140"/>
      <c r="G15" s="140"/>
      <c r="H15" s="140"/>
      <c r="I15" s="140"/>
      <c r="J15" s="140"/>
      <c r="K15" s="140"/>
      <c r="L15" s="141"/>
    </row>
    <row r="16" spans="2:12" ht="15.6" x14ac:dyDescent="0.3">
      <c r="B16" s="157" t="s">
        <v>197</v>
      </c>
      <c r="C16" s="155"/>
      <c r="D16" s="155"/>
      <c r="E16" s="155"/>
      <c r="F16" s="155"/>
      <c r="G16" s="155"/>
      <c r="H16" s="155"/>
      <c r="I16" s="155"/>
      <c r="J16" s="155"/>
      <c r="K16" s="155"/>
      <c r="L16" s="156"/>
    </row>
    <row r="17" spans="2:12" ht="15.6" x14ac:dyDescent="0.3">
      <c r="B17" s="158" t="s">
        <v>198</v>
      </c>
      <c r="C17" s="155"/>
      <c r="D17" s="155"/>
      <c r="E17" s="155"/>
      <c r="F17" s="155"/>
      <c r="G17" s="155"/>
      <c r="H17" s="155"/>
      <c r="I17" s="155"/>
      <c r="J17" s="155"/>
      <c r="K17" s="155"/>
      <c r="L17" s="156"/>
    </row>
    <row r="18" spans="2:12" x14ac:dyDescent="0.25">
      <c r="B18" s="139"/>
      <c r="C18" s="140"/>
      <c r="D18" s="140"/>
      <c r="E18" s="140"/>
      <c r="F18" s="140"/>
      <c r="G18" s="140"/>
      <c r="H18" s="140"/>
      <c r="I18" s="140"/>
      <c r="J18" s="140"/>
      <c r="K18" s="140"/>
      <c r="L18" s="141"/>
    </row>
    <row r="19" spans="2:12" x14ac:dyDescent="0.25">
      <c r="B19" s="142" t="s">
        <v>199</v>
      </c>
      <c r="C19" s="143"/>
      <c r="D19" s="143"/>
      <c r="E19" s="143"/>
      <c r="F19" s="143"/>
      <c r="G19" s="143"/>
      <c r="H19" s="143"/>
      <c r="I19" s="143"/>
      <c r="J19" s="143"/>
      <c r="K19" s="143"/>
      <c r="L19" s="144"/>
    </row>
    <row r="20" spans="2:12" ht="13.8" thickBot="1" x14ac:dyDescent="0.3">
      <c r="B20" s="145"/>
      <c r="C20" s="146"/>
      <c r="D20" s="146"/>
      <c r="E20" s="146"/>
      <c r="F20" s="146"/>
      <c r="G20" s="146"/>
      <c r="H20" s="146"/>
      <c r="I20" s="146"/>
      <c r="J20" s="146"/>
      <c r="K20" s="146"/>
      <c r="L20" s="147"/>
    </row>
  </sheetData>
  <sheetProtection password="C72A" sheet="1" objects="1" scenarios="1"/>
  <mergeCells count="18">
    <mergeCell ref="B16:L16"/>
    <mergeCell ref="B17:L17"/>
    <mergeCell ref="B8:L8"/>
    <mergeCell ref="B3:L3"/>
    <mergeCell ref="B4:L4"/>
    <mergeCell ref="B5:L5"/>
    <mergeCell ref="B6:L6"/>
    <mergeCell ref="B7:L7"/>
    <mergeCell ref="B18:L18"/>
    <mergeCell ref="B19:L19"/>
    <mergeCell ref="B20:L20"/>
    <mergeCell ref="B9:L9"/>
    <mergeCell ref="B10:L10"/>
    <mergeCell ref="B11:L11"/>
    <mergeCell ref="B12:L12"/>
    <mergeCell ref="B13:L13"/>
    <mergeCell ref="B14:L14"/>
    <mergeCell ref="B15:L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31"/>
  <sheetViews>
    <sheetView zoomScale="110" zoomScaleNormal="110" workbookViewId="0">
      <selection activeCell="C11" sqref="C11"/>
    </sheetView>
  </sheetViews>
  <sheetFormatPr defaultColWidth="9.109375" defaultRowHeight="13.2" x14ac:dyDescent="0.25"/>
  <cols>
    <col min="1" max="1" width="14.109375" style="5" customWidth="1"/>
    <col min="2" max="3" width="9.109375" style="5"/>
    <col min="4" max="4" width="10.6640625" style="5" customWidth="1"/>
    <col min="5" max="5" width="9.109375" style="5"/>
    <col min="6" max="6" width="9.44140625" style="5" customWidth="1"/>
    <col min="7" max="11" width="9.109375" style="5"/>
    <col min="12" max="12" width="12.33203125" style="5" customWidth="1"/>
    <col min="13" max="16384" width="9.109375" style="5"/>
  </cols>
  <sheetData>
    <row r="1" spans="1:13" x14ac:dyDescent="0.25">
      <c r="A1" s="1" t="s">
        <v>5</v>
      </c>
      <c r="B1" s="2"/>
      <c r="C1" s="2"/>
      <c r="D1" s="2"/>
      <c r="E1" s="2"/>
      <c r="F1" s="2"/>
      <c r="G1" s="2"/>
      <c r="H1" s="3"/>
      <c r="I1" s="2" t="s">
        <v>6</v>
      </c>
      <c r="J1" s="2"/>
      <c r="K1" s="2"/>
      <c r="L1" s="2"/>
      <c r="M1" s="4"/>
    </row>
    <row r="2" spans="1:13" x14ac:dyDescent="0.25">
      <c r="A2" s="6"/>
      <c r="B2" s="7" t="s">
        <v>7</v>
      </c>
      <c r="C2" s="7"/>
      <c r="D2" s="7"/>
      <c r="E2" s="7"/>
      <c r="F2" s="8" t="s">
        <v>203</v>
      </c>
      <c r="G2" s="8" t="s">
        <v>204</v>
      </c>
      <c r="H2" s="9"/>
      <c r="I2" s="10"/>
      <c r="J2" s="10" t="s">
        <v>8</v>
      </c>
      <c r="K2" s="10"/>
      <c r="L2" s="10"/>
      <c r="M2" s="9"/>
    </row>
    <row r="3" spans="1:13" x14ac:dyDescent="0.25">
      <c r="A3" s="11"/>
      <c r="B3" s="10"/>
      <c r="C3" s="12"/>
      <c r="D3" s="10"/>
      <c r="E3" s="10"/>
      <c r="F3" s="21"/>
      <c r="G3" s="13"/>
      <c r="H3" s="9"/>
      <c r="I3" s="10"/>
      <c r="J3" s="10"/>
      <c r="K3" s="10"/>
      <c r="L3" s="10"/>
      <c r="M3" s="9"/>
    </row>
    <row r="4" spans="1:13" x14ac:dyDescent="0.25">
      <c r="A4" s="11"/>
      <c r="B4" s="10"/>
      <c r="C4" s="10"/>
      <c r="D4" s="10"/>
      <c r="E4" s="10"/>
      <c r="F4" s="21"/>
      <c r="G4" s="13"/>
      <c r="H4" s="9"/>
      <c r="I4" s="10"/>
      <c r="J4" s="10"/>
      <c r="K4" s="10"/>
      <c r="L4" s="10"/>
      <c r="M4" s="9"/>
    </row>
    <row r="5" spans="1:13" x14ac:dyDescent="0.25">
      <c r="A5" s="11"/>
      <c r="B5" s="14"/>
      <c r="C5" s="14"/>
      <c r="D5" s="14"/>
      <c r="E5" s="15"/>
      <c r="F5" s="21"/>
      <c r="G5" s="13"/>
      <c r="H5" s="9"/>
      <c r="I5" s="10"/>
      <c r="J5" s="16" t="s">
        <v>9</v>
      </c>
      <c r="K5" s="10"/>
      <c r="L5" s="10"/>
      <c r="M5" s="9"/>
    </row>
    <row r="6" spans="1:13" x14ac:dyDescent="0.25">
      <c r="A6" s="11"/>
      <c r="B6" s="10"/>
      <c r="C6" s="17" t="s">
        <v>10</v>
      </c>
      <c r="D6" s="18">
        <v>50</v>
      </c>
      <c r="E6" s="10"/>
      <c r="F6" s="21"/>
      <c r="G6" s="13"/>
      <c r="H6" s="9"/>
      <c r="I6" s="10"/>
      <c r="J6" s="10"/>
      <c r="K6" s="10"/>
      <c r="L6" s="10"/>
      <c r="M6" s="9"/>
    </row>
    <row r="7" spans="1:13" x14ac:dyDescent="0.25">
      <c r="A7" s="11"/>
      <c r="B7" s="10"/>
      <c r="C7" s="17" t="s">
        <v>11</v>
      </c>
      <c r="D7" s="19">
        <v>0.4</v>
      </c>
      <c r="E7" s="10"/>
      <c r="F7" s="21"/>
      <c r="G7" s="13"/>
      <c r="H7" s="9"/>
      <c r="I7" s="10"/>
      <c r="J7" s="10"/>
      <c r="K7" s="10"/>
      <c r="L7" s="10"/>
      <c r="M7" s="9"/>
    </row>
    <row r="8" spans="1:13" x14ac:dyDescent="0.25">
      <c r="A8" s="11"/>
      <c r="B8" s="10"/>
      <c r="C8" s="17" t="s">
        <v>12</v>
      </c>
      <c r="D8" s="19">
        <v>0.1</v>
      </c>
      <c r="E8" s="10"/>
      <c r="F8" s="21"/>
      <c r="G8" s="13"/>
      <c r="H8" s="9"/>
      <c r="I8" s="10"/>
      <c r="J8" s="10"/>
      <c r="K8" s="20" t="s">
        <v>13</v>
      </c>
      <c r="L8" s="19">
        <v>0.01</v>
      </c>
      <c r="M8" s="9"/>
    </row>
    <row r="9" spans="1:13" x14ac:dyDescent="0.25">
      <c r="A9" s="11"/>
      <c r="B9" s="10"/>
      <c r="C9" s="17"/>
      <c r="D9" s="22"/>
      <c r="E9" s="10"/>
      <c r="F9" s="21"/>
      <c r="G9" s="13"/>
      <c r="H9" s="9"/>
      <c r="I9" s="10"/>
      <c r="J9" s="10"/>
      <c r="K9" s="20" t="s">
        <v>14</v>
      </c>
      <c r="L9" s="19">
        <v>2</v>
      </c>
      <c r="M9" s="9"/>
    </row>
    <row r="10" spans="1:13" x14ac:dyDescent="0.25">
      <c r="A10" s="11"/>
      <c r="B10" s="10"/>
      <c r="C10" s="10"/>
      <c r="D10" s="10"/>
      <c r="E10" s="10"/>
      <c r="F10" s="21"/>
      <c r="G10" s="13"/>
      <c r="H10" s="9"/>
      <c r="I10" s="10"/>
      <c r="J10" s="10"/>
      <c r="K10" s="10"/>
      <c r="L10" s="10"/>
      <c r="M10" s="9"/>
    </row>
    <row r="11" spans="1:13" x14ac:dyDescent="0.25">
      <c r="A11" s="11"/>
      <c r="B11" s="10"/>
      <c r="C11" s="10"/>
      <c r="D11" s="10"/>
      <c r="E11" s="10"/>
      <c r="F11" s="21"/>
      <c r="G11" s="13"/>
      <c r="H11" s="9"/>
      <c r="I11" s="10"/>
      <c r="J11" s="10"/>
      <c r="K11" s="10"/>
      <c r="L11" s="10"/>
      <c r="M11" s="9"/>
    </row>
    <row r="12" spans="1:13" x14ac:dyDescent="0.25">
      <c r="A12" s="11"/>
      <c r="B12" s="10"/>
      <c r="C12" s="10"/>
      <c r="D12" s="10"/>
      <c r="E12" s="10"/>
      <c r="F12" s="21"/>
      <c r="G12" s="13"/>
      <c r="H12" s="9"/>
      <c r="I12" s="10"/>
      <c r="J12" s="10"/>
      <c r="K12" s="10"/>
      <c r="L12" s="10"/>
      <c r="M12" s="9"/>
    </row>
    <row r="13" spans="1:13" ht="13.8" thickBot="1" x14ac:dyDescent="0.3">
      <c r="A13" s="23"/>
      <c r="B13" s="24"/>
      <c r="C13" s="24"/>
      <c r="D13" s="24"/>
      <c r="E13" s="24"/>
      <c r="F13" s="24"/>
      <c r="G13" s="24"/>
      <c r="H13" s="25"/>
      <c r="I13" s="24"/>
      <c r="J13" s="24"/>
      <c r="K13" s="24"/>
      <c r="L13" s="24"/>
      <c r="M13" s="25"/>
    </row>
    <row r="14" spans="1:13" ht="13.8" thickBo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3" x14ac:dyDescent="0.25">
      <c r="A15" s="1" t="s">
        <v>15</v>
      </c>
      <c r="B15" s="2"/>
      <c r="C15" s="2"/>
      <c r="D15" s="2"/>
      <c r="E15" s="2"/>
      <c r="F15" s="4"/>
      <c r="G15"/>
      <c r="H15"/>
      <c r="I15"/>
      <c r="J15"/>
      <c r="K15"/>
      <c r="L15"/>
      <c r="M15"/>
    </row>
    <row r="16" spans="1:13" x14ac:dyDescent="0.25">
      <c r="A16" s="11"/>
      <c r="B16" s="26" t="s">
        <v>16</v>
      </c>
      <c r="C16" s="27"/>
      <c r="D16" s="27"/>
      <c r="E16" s="27"/>
      <c r="F16" s="9"/>
      <c r="G16"/>
      <c r="H16"/>
      <c r="I16"/>
      <c r="J16"/>
      <c r="K16"/>
      <c r="L16"/>
      <c r="M16"/>
    </row>
    <row r="17" spans="1:13" x14ac:dyDescent="0.25">
      <c r="A17" s="11"/>
      <c r="B17" s="28"/>
      <c r="C17" s="28"/>
      <c r="D17" s="27"/>
      <c r="E17" s="27"/>
      <c r="F17" s="9"/>
      <c r="G17"/>
      <c r="H17"/>
      <c r="I17"/>
      <c r="J17"/>
      <c r="K17"/>
      <c r="L17"/>
      <c r="M17"/>
    </row>
    <row r="18" spans="1:13" x14ac:dyDescent="0.25">
      <c r="A18" s="11"/>
      <c r="B18" s="27"/>
      <c r="C18" s="27"/>
      <c r="D18" s="27"/>
      <c r="E18" s="27"/>
      <c r="F18" s="9"/>
      <c r="G18"/>
      <c r="H18"/>
      <c r="I18"/>
      <c r="J18"/>
      <c r="K18"/>
      <c r="L18"/>
      <c r="M18"/>
    </row>
    <row r="19" spans="1:13" x14ac:dyDescent="0.25">
      <c r="A19" s="11"/>
      <c r="B19" s="29"/>
      <c r="C19" s="30" t="s">
        <v>68</v>
      </c>
      <c r="D19" s="31">
        <f>5/12</f>
        <v>0.41666666666666669</v>
      </c>
      <c r="E19" s="27"/>
      <c r="F19" s="9"/>
      <c r="G19"/>
      <c r="H19"/>
      <c r="I19"/>
      <c r="J19"/>
      <c r="K19"/>
      <c r="L19"/>
      <c r="M19"/>
    </row>
    <row r="20" spans="1:13" x14ac:dyDescent="0.25">
      <c r="A20" s="11"/>
      <c r="B20" s="29"/>
      <c r="C20" s="30" t="s">
        <v>18</v>
      </c>
      <c r="D20" s="18">
        <v>50</v>
      </c>
      <c r="E20" s="27"/>
      <c r="F20" s="9"/>
      <c r="G20"/>
      <c r="H20"/>
      <c r="I20"/>
      <c r="J20"/>
      <c r="K20"/>
      <c r="L20"/>
      <c r="M20"/>
    </row>
    <row r="21" spans="1:13" x14ac:dyDescent="0.25">
      <c r="A21" s="11"/>
      <c r="B21" s="29"/>
      <c r="C21" s="30" t="s">
        <v>47</v>
      </c>
      <c r="D21" s="71">
        <v>5</v>
      </c>
      <c r="E21" s="27"/>
      <c r="F21" s="9"/>
      <c r="G21"/>
      <c r="H21"/>
      <c r="I21"/>
      <c r="J21"/>
      <c r="K21"/>
      <c r="L21"/>
      <c r="M21"/>
    </row>
    <row r="22" spans="1:13" x14ac:dyDescent="0.25">
      <c r="A22" s="11"/>
      <c r="B22" s="29"/>
      <c r="C22" s="30"/>
      <c r="D22" s="22"/>
      <c r="E22" s="27"/>
      <c r="F22" s="9"/>
      <c r="G22"/>
      <c r="H22"/>
      <c r="I22"/>
      <c r="J22"/>
      <c r="K22"/>
      <c r="L22"/>
      <c r="M22"/>
    </row>
    <row r="23" spans="1:13" ht="13.8" thickBot="1" x14ac:dyDescent="0.3">
      <c r="A23" s="11"/>
      <c r="B23" s="29"/>
      <c r="C23" s="27"/>
      <c r="D23" s="27"/>
      <c r="E23" s="27"/>
      <c r="F23" s="9"/>
      <c r="G23"/>
      <c r="H23"/>
      <c r="I23"/>
      <c r="J23"/>
      <c r="K23"/>
      <c r="L23"/>
      <c r="M23"/>
    </row>
    <row r="24" spans="1:13" ht="13.8" thickTop="1" x14ac:dyDescent="0.25">
      <c r="A24" s="32"/>
      <c r="B24" s="33"/>
      <c r="C24" s="34"/>
      <c r="D24" s="35"/>
      <c r="E24" s="36"/>
      <c r="F24" s="37"/>
      <c r="G24"/>
      <c r="H24"/>
      <c r="I24"/>
      <c r="J24"/>
      <c r="K24"/>
      <c r="L24"/>
      <c r="M24"/>
    </row>
    <row r="25" spans="1:13" x14ac:dyDescent="0.25">
      <c r="A25" s="11"/>
      <c r="B25" s="27"/>
      <c r="C25" s="38" t="s">
        <v>21</v>
      </c>
      <c r="D25" s="21">
        <v>4.4884585347259138</v>
      </c>
      <c r="E25" s="27"/>
      <c r="F25" s="9"/>
      <c r="G25"/>
      <c r="H25"/>
      <c r="I25"/>
      <c r="J25"/>
      <c r="K25"/>
      <c r="L25"/>
      <c r="M25"/>
    </row>
    <row r="26" spans="1:13" x14ac:dyDescent="0.25">
      <c r="A26" s="11"/>
      <c r="B26" s="27"/>
      <c r="C26" s="38" t="s">
        <v>22</v>
      </c>
      <c r="D26" s="21">
        <v>-0.41452994083372352</v>
      </c>
      <c r="E26" s="27"/>
      <c r="F26" s="9"/>
      <c r="G26"/>
      <c r="H26"/>
      <c r="I26"/>
      <c r="J26"/>
      <c r="K26"/>
      <c r="L26"/>
      <c r="M26"/>
    </row>
    <row r="27" spans="1:13" x14ac:dyDescent="0.25">
      <c r="A27" s="11"/>
      <c r="B27" s="27"/>
      <c r="C27" s="38" t="s">
        <v>23</v>
      </c>
      <c r="D27" s="21">
        <v>3.4145566648715903E-2</v>
      </c>
      <c r="E27" s="27"/>
      <c r="F27" s="9"/>
      <c r="G27"/>
      <c r="H27"/>
      <c r="I27"/>
      <c r="J27"/>
      <c r="K27"/>
      <c r="L27"/>
      <c r="M27"/>
    </row>
    <row r="28" spans="1:13" x14ac:dyDescent="0.25">
      <c r="A28" s="11"/>
      <c r="B28" s="27"/>
      <c r="C28" s="38" t="s">
        <v>24</v>
      </c>
      <c r="D28" s="21">
        <v>0.13127649785553697</v>
      </c>
      <c r="E28" s="27"/>
      <c r="F28" s="9"/>
      <c r="G28"/>
      <c r="H28"/>
      <c r="I28"/>
      <c r="J28"/>
      <c r="K28"/>
      <c r="L28"/>
      <c r="M28"/>
    </row>
    <row r="29" spans="1:13" x14ac:dyDescent="0.25">
      <c r="A29" s="11"/>
      <c r="B29" s="27"/>
      <c r="C29" s="39" t="s">
        <v>25</v>
      </c>
      <c r="D29" s="21">
        <v>-1.1791512784101872E-2</v>
      </c>
      <c r="E29" s="27"/>
      <c r="F29" s="9"/>
      <c r="G29"/>
      <c r="H29"/>
      <c r="I29"/>
      <c r="J29"/>
      <c r="K29"/>
      <c r="L29"/>
      <c r="M29"/>
    </row>
    <row r="30" spans="1:13" x14ac:dyDescent="0.25">
      <c r="A30" s="11"/>
      <c r="B30" s="27"/>
      <c r="C30" s="38" t="s">
        <v>26</v>
      </c>
      <c r="D30" s="21">
        <v>-8.4023359482095827E-2</v>
      </c>
      <c r="E30" s="27"/>
      <c r="F30" s="9"/>
      <c r="G30"/>
      <c r="H30"/>
      <c r="I30"/>
      <c r="J30"/>
      <c r="K30"/>
      <c r="L30"/>
      <c r="M30"/>
    </row>
    <row r="31" spans="1:13" ht="13.8" thickBot="1" x14ac:dyDescent="0.3">
      <c r="A31" s="23"/>
      <c r="B31" s="24"/>
      <c r="C31" s="24"/>
      <c r="D31" s="24"/>
      <c r="E31" s="24"/>
      <c r="F31" s="25"/>
      <c r="G31"/>
      <c r="H31"/>
      <c r="I31"/>
      <c r="J31"/>
      <c r="K31"/>
      <c r="L31"/>
      <c r="M31"/>
    </row>
  </sheetData>
  <phoneticPr fontId="6" type="noConversion"/>
  <pageMargins left="0.75" right="0.75" top="1" bottom="1" header="0.5" footer="0.5"/>
  <pageSetup scale="88" orientation="landscape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5</xdr:col>
                    <xdr:colOff>30480</xdr:colOff>
                    <xdr:row>19</xdr:row>
                    <xdr:rowOff>76200</xdr:rowOff>
                  </from>
                  <to>
                    <xdr:col>5</xdr:col>
                    <xdr:colOff>624840</xdr:colOff>
                    <xdr:row>20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5</xdr:col>
                    <xdr:colOff>22860</xdr:colOff>
                    <xdr:row>17</xdr:row>
                    <xdr:rowOff>160020</xdr:rowOff>
                  </from>
                  <to>
                    <xdr:col>5</xdr:col>
                    <xdr:colOff>617220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alc_Button">
              <controlPr defaultSize="0" print="0" autoFill="0" autoLine="0" autoPict="0" macro="[0]!Equity_compute_handler">
                <anchor moveWithCells="1" sizeWithCells="1">
                  <from>
                    <xdr:col>0</xdr:col>
                    <xdr:colOff>472440</xdr:colOff>
                    <xdr:row>9</xdr:row>
                    <xdr:rowOff>144780</xdr:rowOff>
                  </from>
                  <to>
                    <xdr:col>2</xdr:col>
                    <xdr:colOff>106680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Drop Down 5">
              <controlPr defaultSize="0" autoFill="0" autoLine="0" autoPict="0" macro="[0]!Equity_Underlying_Select">
                <anchor mov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617220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Drop Down 6">
              <controlPr defaultSize="0" autoFill="0" autoLine="0" autoPict="0" macro="[0]!Equity_Option_Select">
                <anchor moveWithCells="1">
                  <from>
                    <xdr:col>1</xdr:col>
                    <xdr:colOff>60960</xdr:colOff>
                    <xdr:row>16</xdr:row>
                    <xdr:rowOff>30480</xdr:rowOff>
                  </from>
                  <to>
                    <xdr:col>3</xdr:col>
                    <xdr:colOff>617220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Check Box 7">
              <controlPr defaultSize="0" autoFill="0" autoLine="0" autoPict="0">
                <anchor moveWithCells="1">
                  <from>
                    <xdr:col>4</xdr:col>
                    <xdr:colOff>106680</xdr:colOff>
                    <xdr:row>16</xdr:row>
                    <xdr:rowOff>7620</xdr:rowOff>
                  </from>
                  <to>
                    <xdr:col>5</xdr:col>
                    <xdr:colOff>541020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Drop Down 10">
              <controlPr defaultSize="0" autoFill="0" autoLine="0" autoPict="0" macro="[0]!Equity_graph_input_formatter">
                <anchor moveWithCells="1">
                  <from>
                    <xdr:col>9</xdr:col>
                    <xdr:colOff>137160</xdr:colOff>
                    <xdr:row>5</xdr:row>
                    <xdr:rowOff>22860</xdr:rowOff>
                  </from>
                  <to>
                    <xdr:col>11</xdr:col>
                    <xdr:colOff>601980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1" name="Drop Down 11">
              <controlPr defaultSize="0" autoFill="0" autoLine="0" autoPict="0">
                <anchor moveWithCells="1">
                  <from>
                    <xdr:col>9</xdr:col>
                    <xdr:colOff>137160</xdr:colOff>
                    <xdr:row>2</xdr:row>
                    <xdr:rowOff>22860</xdr:rowOff>
                  </from>
                  <to>
                    <xdr:col>11</xdr:col>
                    <xdr:colOff>601980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2" name="Button 12">
              <controlPr defaultSize="0" print="0" autoFill="0" autoLine="0" autoPict="0" macro="[0]!Equity_graph_handler">
                <anchor moveWithCells="1" sizeWithCells="1">
                  <from>
                    <xdr:col>9</xdr:col>
                    <xdr:colOff>457200</xdr:colOff>
                    <xdr:row>9</xdr:row>
                    <xdr:rowOff>60960</xdr:rowOff>
                  </from>
                  <to>
                    <xdr:col>11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3" name="Tree_Display_Button">
              <controlPr defaultSize="0" print="0" autoFill="0" autoLine="0" autoPict="0" macro="[0]!Equity_Display_Tree">
                <anchor moveWithCells="1" sizeWithCells="1">
                  <from>
                    <xdr:col>2</xdr:col>
                    <xdr:colOff>342900</xdr:colOff>
                    <xdr:row>9</xdr:row>
                    <xdr:rowOff>144780</xdr:rowOff>
                  </from>
                  <to>
                    <xdr:col>4</xdr:col>
                    <xdr:colOff>213360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89"/>
  <sheetViews>
    <sheetView showGridLines="0" zoomScale="75" workbookViewId="0">
      <selection activeCell="B91" sqref="B91"/>
    </sheetView>
  </sheetViews>
  <sheetFormatPr defaultRowHeight="13.2" customHeight="1" x14ac:dyDescent="0.25"/>
  <cols>
    <col min="1" max="1" width="8.88671875" customWidth="1"/>
    <col min="2" max="2" width="5.6640625" customWidth="1"/>
    <col min="3" max="3" width="8.88671875" customWidth="1"/>
    <col min="4" max="4" width="5.6640625" customWidth="1"/>
    <col min="5" max="5" width="8.88671875" customWidth="1"/>
    <col min="6" max="6" width="5.6640625" customWidth="1"/>
    <col min="7" max="7" width="8.88671875" customWidth="1"/>
    <col min="8" max="8" width="5.6640625" customWidth="1"/>
    <col min="9" max="9" width="8.88671875" customWidth="1"/>
    <col min="10" max="10" width="5.6640625" customWidth="1"/>
    <col min="11" max="11" width="8.88671875" customWidth="1"/>
    <col min="12" max="12" width="5.6640625" customWidth="1"/>
    <col min="13" max="13" width="8.88671875" customWidth="1"/>
    <col min="14" max="14" width="5.6640625" customWidth="1"/>
    <col min="15" max="15" width="8.88671875" customWidth="1"/>
    <col min="16" max="16" width="5.6640625" customWidth="1"/>
    <col min="17" max="17" width="8.88671875" customWidth="1"/>
    <col min="18" max="18" width="5.6640625" customWidth="1"/>
    <col min="19" max="19" width="8.88671875" customWidth="1"/>
    <col min="20" max="20" width="5.6640625" customWidth="1"/>
    <col min="21" max="21" width="8.88671875" customWidth="1"/>
    <col min="23" max="23" width="8.88671875" customWidth="1"/>
  </cols>
  <sheetData>
    <row r="1" spans="1:23" ht="13.2" customHeight="1" x14ac:dyDescent="0.25">
      <c r="A1" t="s">
        <v>0</v>
      </c>
    </row>
    <row r="2" spans="1:23" ht="13.2" customHeight="1" x14ac:dyDescent="0.25">
      <c r="A2" t="s">
        <v>27</v>
      </c>
    </row>
    <row r="3" spans="1:23" ht="13.2" customHeight="1" x14ac:dyDescent="0.25">
      <c r="A3" t="s">
        <v>28</v>
      </c>
      <c r="U3" s="95">
        <v>80.955718027520916</v>
      </c>
    </row>
    <row r="4" spans="1:23" ht="13.2" customHeight="1" x14ac:dyDescent="0.25">
      <c r="A4" t="s">
        <v>29</v>
      </c>
      <c r="U4" s="95">
        <v>0</v>
      </c>
    </row>
    <row r="5" spans="1:23" ht="13.2" customHeight="1" x14ac:dyDescent="0.25">
      <c r="A5" t="s">
        <v>3</v>
      </c>
      <c r="U5" s="97">
        <v>0.1103761469628584</v>
      </c>
    </row>
    <row r="7" spans="1:23" ht="13.2" customHeight="1" x14ac:dyDescent="0.25">
      <c r="A7" t="s">
        <v>149</v>
      </c>
      <c r="S7" s="95">
        <v>87.561213612164366</v>
      </c>
      <c r="U7" s="95">
        <v>82.439217817005755</v>
      </c>
      <c r="V7" s="98" t="s">
        <v>30</v>
      </c>
      <c r="W7" s="99">
        <v>0.1451791666666665</v>
      </c>
    </row>
    <row r="8" spans="1:23" ht="13.2" customHeight="1" x14ac:dyDescent="0.25">
      <c r="A8" t="s">
        <v>183</v>
      </c>
      <c r="S8" s="95">
        <v>0</v>
      </c>
      <c r="U8" s="95">
        <v>0</v>
      </c>
      <c r="V8" s="98" t="s">
        <v>31</v>
      </c>
      <c r="W8" s="99">
        <v>0.66464166666666669</v>
      </c>
    </row>
    <row r="9" spans="1:23" ht="13.2" customHeight="1" x14ac:dyDescent="0.25">
      <c r="S9" s="97">
        <v>0.10833394476141139</v>
      </c>
      <c r="U9" s="97">
        <v>0.10489892138780674</v>
      </c>
      <c r="V9" s="98" t="s">
        <v>32</v>
      </c>
      <c r="W9" s="99">
        <v>0.19017916666666684</v>
      </c>
    </row>
    <row r="11" spans="1:23" ht="13.2" customHeight="1" x14ac:dyDescent="0.25">
      <c r="Q11" s="95">
        <v>88.271630866061358</v>
      </c>
      <c r="S11" s="95">
        <v>89.099323621447965</v>
      </c>
      <c r="U11" s="95">
        <v>83.951341074420469</v>
      </c>
      <c r="V11" s="98" t="s">
        <v>30</v>
      </c>
      <c r="W11" s="99">
        <v>0.14746666666666686</v>
      </c>
    </row>
    <row r="12" spans="1:23" ht="13.2" customHeight="1" x14ac:dyDescent="0.25">
      <c r="Q12" s="95">
        <v>0</v>
      </c>
      <c r="S12" s="95">
        <v>0</v>
      </c>
      <c r="U12" s="95">
        <v>0</v>
      </c>
      <c r="V12" s="98" t="s">
        <v>31</v>
      </c>
      <c r="W12" s="99">
        <v>0.66506666666666669</v>
      </c>
    </row>
    <row r="13" spans="1:23" ht="13.2" customHeight="1" x14ac:dyDescent="0.25">
      <c r="Q13" s="97">
        <v>0.10084870533687977</v>
      </c>
      <c r="S13" s="97">
        <v>0.10285671918635973</v>
      </c>
      <c r="U13" s="97">
        <v>9.942169581275509E-2</v>
      </c>
      <c r="V13" s="98" t="s">
        <v>32</v>
      </c>
      <c r="W13" s="99">
        <v>0.18746666666666645</v>
      </c>
    </row>
    <row r="15" spans="1:23" ht="13.2" customHeight="1" x14ac:dyDescent="0.25">
      <c r="O15" s="95">
        <v>89.092862891812047</v>
      </c>
      <c r="Q15" s="95">
        <v>89.866980031525358</v>
      </c>
      <c r="S15" s="95">
        <v>90.667718777469446</v>
      </c>
      <c r="U15" s="95">
        <v>85.492651401491315</v>
      </c>
      <c r="V15" s="98" t="s">
        <v>30</v>
      </c>
      <c r="W15" s="99">
        <v>0.1497791666666666</v>
      </c>
    </row>
    <row r="16" spans="1:23" ht="13.2" customHeight="1" x14ac:dyDescent="0.25">
      <c r="O16" s="95">
        <v>0</v>
      </c>
      <c r="Q16" s="95">
        <v>0</v>
      </c>
      <c r="S16" s="95">
        <v>0</v>
      </c>
      <c r="U16" s="95">
        <v>0</v>
      </c>
      <c r="V16" s="98" t="s">
        <v>31</v>
      </c>
      <c r="W16" s="99">
        <v>0.66544166666666671</v>
      </c>
    </row>
    <row r="17" spans="7:23" ht="13.2" customHeight="1" x14ac:dyDescent="0.25">
      <c r="O17" s="97">
        <v>9.3364355541292354E-2</v>
      </c>
      <c r="Q17" s="97">
        <v>9.537147976182811E-2</v>
      </c>
      <c r="S17" s="97">
        <v>9.7379493611308071E-2</v>
      </c>
      <c r="U17" s="97">
        <v>9.3944470237703429E-2</v>
      </c>
      <c r="V17" s="98" t="s">
        <v>32</v>
      </c>
      <c r="W17" s="99">
        <v>0.18477916666666674</v>
      </c>
    </row>
    <row r="19" spans="7:23" ht="13.2" customHeight="1" x14ac:dyDescent="0.25">
      <c r="M19" s="95">
        <v>90.027118434585617</v>
      </c>
      <c r="O19" s="95">
        <v>90.747939282570314</v>
      </c>
      <c r="Q19" s="95">
        <v>91.49438737974053</v>
      </c>
      <c r="S19" s="95">
        <v>92.267008552035179</v>
      </c>
      <c r="U19" s="95">
        <v>87.063723596664076</v>
      </c>
      <c r="V19" s="98" t="s">
        <v>30</v>
      </c>
      <c r="W19" s="99">
        <v>0.15211666666666637</v>
      </c>
    </row>
    <row r="20" spans="7:23" ht="13.2" customHeight="1" x14ac:dyDescent="0.25">
      <c r="M20" s="95">
        <v>0</v>
      </c>
      <c r="O20" s="95">
        <v>0</v>
      </c>
      <c r="Q20" s="95">
        <v>0</v>
      </c>
      <c r="S20" s="95">
        <v>0</v>
      </c>
      <c r="U20" s="95">
        <v>0</v>
      </c>
      <c r="V20" s="98" t="s">
        <v>31</v>
      </c>
      <c r="W20" s="99">
        <v>0.66576666666666662</v>
      </c>
    </row>
    <row r="21" spans="7:23" ht="13.2" customHeight="1" x14ac:dyDescent="0.25">
      <c r="M21" s="97">
        <v>8.5880909214343548E-2</v>
      </c>
      <c r="O21" s="97">
        <v>8.7887129966240693E-2</v>
      </c>
      <c r="Q21" s="97">
        <v>8.9894254186776448E-2</v>
      </c>
      <c r="S21" s="97">
        <v>9.190226803625641E-2</v>
      </c>
      <c r="U21" s="97">
        <v>8.8467244662651767E-2</v>
      </c>
      <c r="V21" s="98" t="s">
        <v>32</v>
      </c>
      <c r="W21" s="99">
        <v>0.18211666666666701</v>
      </c>
    </row>
    <row r="23" spans="7:23" ht="13.2" customHeight="1" x14ac:dyDescent="0.25">
      <c r="K23" s="95">
        <v>91.077013335821206</v>
      </c>
      <c r="M23" s="95">
        <v>91.744615256970874</v>
      </c>
      <c r="O23" s="95">
        <v>92.436950204463344</v>
      </c>
      <c r="Q23" s="95">
        <v>93.154512057082172</v>
      </c>
      <c r="S23" s="95">
        <v>93.897814793232698</v>
      </c>
      <c r="U23" s="95">
        <v>88.665143878541613</v>
      </c>
      <c r="V23" s="98" t="s">
        <v>30</v>
      </c>
      <c r="W23" s="99">
        <v>0.15447916666666672</v>
      </c>
    </row>
    <row r="24" spans="7:23" ht="13.2" customHeight="1" x14ac:dyDescent="0.25">
      <c r="K24" s="95">
        <v>0</v>
      </c>
      <c r="M24" s="95">
        <v>0</v>
      </c>
      <c r="O24" s="95">
        <v>0</v>
      </c>
      <c r="Q24" s="95">
        <v>0</v>
      </c>
      <c r="S24" s="95">
        <v>0</v>
      </c>
      <c r="U24" s="95">
        <v>0</v>
      </c>
      <c r="V24" s="98" t="s">
        <v>31</v>
      </c>
      <c r="W24" s="99">
        <v>0.66604166666666664</v>
      </c>
    </row>
    <row r="25" spans="7:23" ht="13.2" customHeight="1" x14ac:dyDescent="0.25">
      <c r="K25" s="97">
        <v>7.8398380359698594E-2</v>
      </c>
      <c r="M25" s="97">
        <v>8.0403683639291873E-2</v>
      </c>
      <c r="O25" s="97">
        <v>8.2409904391189032E-2</v>
      </c>
      <c r="Q25" s="97">
        <v>8.4417028611724787E-2</v>
      </c>
      <c r="S25" s="97">
        <v>8.6425042461204749E-2</v>
      </c>
      <c r="U25" s="97">
        <v>8.2990019087600106E-2</v>
      </c>
      <c r="V25" s="98" t="s">
        <v>32</v>
      </c>
      <c r="W25" s="99">
        <v>0.17947916666666661</v>
      </c>
    </row>
    <row r="27" spans="7:23" ht="13.2" customHeight="1" x14ac:dyDescent="0.25">
      <c r="I27" s="95">
        <v>92.282487043382517</v>
      </c>
      <c r="K27" s="95">
        <v>92.859839212028334</v>
      </c>
      <c r="M27" s="95">
        <v>93.498033264522064</v>
      </c>
      <c r="O27" s="95">
        <v>94.160608100843859</v>
      </c>
      <c r="Q27" s="95">
        <v>94.848026887344005</v>
      </c>
      <c r="S27" s="95">
        <v>95.560771977899776</v>
      </c>
      <c r="U27" s="95">
        <v>90.29751011379166</v>
      </c>
      <c r="V27" s="98" t="s">
        <v>30</v>
      </c>
      <c r="W27" s="99">
        <v>0.15686666666666677</v>
      </c>
    </row>
    <row r="28" spans="7:23" ht="13.2" customHeight="1" x14ac:dyDescent="0.25">
      <c r="I28" s="95">
        <v>1.8338338484178965E-5</v>
      </c>
      <c r="K28" s="95">
        <v>0</v>
      </c>
      <c r="M28" s="95">
        <v>0</v>
      </c>
      <c r="O28" s="95">
        <v>0</v>
      </c>
      <c r="Q28" s="95">
        <v>0</v>
      </c>
      <c r="S28" s="95">
        <v>0</v>
      </c>
      <c r="U28" s="95">
        <v>0</v>
      </c>
      <c r="V28" s="98" t="s">
        <v>31</v>
      </c>
      <c r="W28" s="99">
        <v>0.66626666666666667</v>
      </c>
    </row>
    <row r="29" spans="7:23" ht="13.2" customHeight="1" x14ac:dyDescent="0.25">
      <c r="I29" s="97">
        <v>6.6916783146713496E-2</v>
      </c>
      <c r="K29" s="97">
        <v>7.2921154784646933E-2</v>
      </c>
      <c r="M29" s="97">
        <v>7.4926458064240212E-2</v>
      </c>
      <c r="O29" s="97">
        <v>7.693267881613737E-2</v>
      </c>
      <c r="Q29" s="97">
        <v>7.8939803036673126E-2</v>
      </c>
      <c r="S29" s="97">
        <v>8.0947816886153087E-2</v>
      </c>
      <c r="U29" s="97">
        <v>7.7512793512548445E-2</v>
      </c>
      <c r="V29" s="98" t="s">
        <v>32</v>
      </c>
      <c r="W29" s="99">
        <v>0.17686666666666656</v>
      </c>
    </row>
    <row r="31" spans="7:23" ht="13.2" customHeight="1" x14ac:dyDescent="0.25">
      <c r="G31" s="95">
        <v>93.592426484617377</v>
      </c>
      <c r="I31" s="95">
        <v>94.134518150063911</v>
      </c>
      <c r="K31" s="95">
        <v>94.680690813813385</v>
      </c>
      <c r="M31" s="95">
        <v>95.288142102199615</v>
      </c>
      <c r="O31" s="95">
        <v>95.919640512912196</v>
      </c>
      <c r="Q31" s="95">
        <v>96.575618656867235</v>
      </c>
      <c r="S31" s="95">
        <v>97.256527469257236</v>
      </c>
      <c r="U31" s="95">
        <v>91.96143204961426</v>
      </c>
      <c r="V31" s="98" t="s">
        <v>30</v>
      </c>
      <c r="W31" s="99">
        <v>0.1592791666666665</v>
      </c>
    </row>
    <row r="32" spans="7:23" ht="13.2" customHeight="1" x14ac:dyDescent="0.25">
      <c r="G32" s="95">
        <v>1.2667555369745057E-3</v>
      </c>
      <c r="I32" s="95">
        <v>4.7274626498587571E-4</v>
      </c>
      <c r="K32" s="95">
        <v>1.0438068740493189E-4</v>
      </c>
      <c r="M32" s="95">
        <v>0</v>
      </c>
      <c r="O32" s="95">
        <v>0</v>
      </c>
      <c r="Q32" s="95">
        <v>0</v>
      </c>
      <c r="S32" s="95">
        <v>0</v>
      </c>
      <c r="U32" s="95">
        <v>0</v>
      </c>
      <c r="V32" s="98" t="s">
        <v>31</v>
      </c>
      <c r="W32" s="99">
        <v>0.6664416666666666</v>
      </c>
    </row>
    <row r="33" spans="1:23" ht="13.2" customHeight="1" x14ac:dyDescent="0.25">
      <c r="G33" s="97">
        <v>6.1436131912281734E-2</v>
      </c>
      <c r="I33" s="97">
        <v>6.1439557571661842E-2</v>
      </c>
      <c r="K33" s="97">
        <v>6.7443929209595271E-2</v>
      </c>
      <c r="M33" s="97">
        <v>6.944923248918855E-2</v>
      </c>
      <c r="O33" s="97">
        <v>7.1455453241085709E-2</v>
      </c>
      <c r="Q33" s="97">
        <v>7.3462577461621464E-2</v>
      </c>
      <c r="S33" s="97">
        <v>7.5470591311101426E-2</v>
      </c>
      <c r="U33" s="97">
        <v>7.2035567937496783E-2</v>
      </c>
      <c r="V33" s="98" t="s">
        <v>32</v>
      </c>
      <c r="W33" s="99">
        <v>0.17427916666666685</v>
      </c>
    </row>
    <row r="35" spans="1:23" ht="13.2" customHeight="1" x14ac:dyDescent="0.25">
      <c r="E35" s="95">
        <v>95.010033883766383</v>
      </c>
      <c r="G35" s="95">
        <v>95.516710853378129</v>
      </c>
      <c r="I35" s="95">
        <v>96.026821725676598</v>
      </c>
      <c r="K35" s="95">
        <v>96.540399198006341</v>
      </c>
      <c r="M35" s="95">
        <v>97.115728063077825</v>
      </c>
      <c r="O35" s="95">
        <v>97.7147904011767</v>
      </c>
      <c r="Q35" s="95">
        <v>98.337988405629005</v>
      </c>
      <c r="S35" s="95">
        <v>98.985741779811065</v>
      </c>
      <c r="U35" s="95">
        <v>93.65753155086044</v>
      </c>
      <c r="V35" s="98" t="s">
        <v>30</v>
      </c>
      <c r="W35" s="99">
        <v>0.1617166666666667</v>
      </c>
    </row>
    <row r="36" spans="1:23" ht="13.2" customHeight="1" x14ac:dyDescent="0.25">
      <c r="E36" s="95">
        <v>1.6443802955620777E-2</v>
      </c>
      <c r="G36" s="95">
        <v>1.0196744292340031E-2</v>
      </c>
      <c r="I36" s="95">
        <v>5.4887984749407252E-3</v>
      </c>
      <c r="K36" s="95">
        <v>2.3301471229611784E-3</v>
      </c>
      <c r="M36" s="95">
        <v>6.0298114286233757E-4</v>
      </c>
      <c r="O36" s="95">
        <v>0</v>
      </c>
      <c r="Q36" s="95">
        <v>0</v>
      </c>
      <c r="S36" s="95">
        <v>0</v>
      </c>
      <c r="U36" s="95">
        <v>0</v>
      </c>
      <c r="V36" s="98" t="s">
        <v>31</v>
      </c>
      <c r="W36" s="99">
        <v>0.66656666666666664</v>
      </c>
    </row>
    <row r="37" spans="1:23" ht="13.2" customHeight="1" x14ac:dyDescent="0.25">
      <c r="E37" s="97">
        <v>5.59564411626155E-2</v>
      </c>
      <c r="G37" s="97">
        <v>5.5958906337230073E-2</v>
      </c>
      <c r="I37" s="97">
        <v>5.596233199661018E-2</v>
      </c>
      <c r="K37" s="97">
        <v>6.196670363454361E-2</v>
      </c>
      <c r="M37" s="97">
        <v>6.3972006914136889E-2</v>
      </c>
      <c r="O37" s="97">
        <v>6.5978227666034048E-2</v>
      </c>
      <c r="Q37" s="97">
        <v>6.7985351886569803E-2</v>
      </c>
      <c r="S37" s="97">
        <v>6.9993365736049765E-2</v>
      </c>
      <c r="U37" s="97">
        <v>6.6558342362445122E-2</v>
      </c>
      <c r="V37" s="98" t="s">
        <v>32</v>
      </c>
      <c r="W37" s="99">
        <v>0.17171666666666663</v>
      </c>
    </row>
    <row r="39" spans="1:23" ht="13.2" customHeight="1" x14ac:dyDescent="0.25">
      <c r="C39" s="95">
        <v>96.538838376815605</v>
      </c>
      <c r="E39" s="95">
        <v>97.009832074165814</v>
      </c>
      <c r="G39" s="95">
        <v>97.483642788990025</v>
      </c>
      <c r="I39" s="95">
        <v>97.960295139285861</v>
      </c>
      <c r="K39" s="95">
        <v>98.43981376118272</v>
      </c>
      <c r="M39" s="95">
        <v>98.981594450188325</v>
      </c>
      <c r="O39" s="95">
        <v>99.546816473777184</v>
      </c>
      <c r="Q39" s="95">
        <v>100.13585172441569</v>
      </c>
      <c r="S39" s="95">
        <v>100.74908883963191</v>
      </c>
      <c r="U39" s="95">
        <v>95.386442841895075</v>
      </c>
      <c r="V39" s="98" t="s">
        <v>30</v>
      </c>
      <c r="W39" s="99">
        <v>0.16417916666666668</v>
      </c>
    </row>
    <row r="40" spans="1:23" ht="13.2" customHeight="1" x14ac:dyDescent="0.25">
      <c r="C40" s="95">
        <v>9.6169855205796476E-2</v>
      </c>
      <c r="E40" s="95">
        <v>7.5090488295859181E-2</v>
      </c>
      <c r="G40" s="95">
        <v>5.5524075746186945E-2</v>
      </c>
      <c r="I40" s="95">
        <v>3.796290237727664E-2</v>
      </c>
      <c r="K40" s="95">
        <v>2.30002291542524E-2</v>
      </c>
      <c r="M40" s="95">
        <v>1.1313427017422531E-2</v>
      </c>
      <c r="O40" s="95">
        <v>3.5340244522100881E-3</v>
      </c>
      <c r="Q40" s="95">
        <v>0</v>
      </c>
      <c r="S40" s="95">
        <v>0</v>
      </c>
      <c r="U40" s="95">
        <v>0</v>
      </c>
      <c r="V40" s="98" t="s">
        <v>31</v>
      </c>
      <c r="W40" s="99">
        <v>0.66664166666666669</v>
      </c>
    </row>
    <row r="41" spans="1:23" ht="13.2" customHeight="1" x14ac:dyDescent="0.25">
      <c r="C41" s="97">
        <v>5.0477725575037803E-2</v>
      </c>
      <c r="E41" s="97">
        <v>5.0479215587563839E-2</v>
      </c>
      <c r="G41" s="97">
        <v>5.0481680762178412E-2</v>
      </c>
      <c r="I41" s="97">
        <v>5.0485106421558519E-2</v>
      </c>
      <c r="K41" s="97">
        <v>5.6489478059491949E-2</v>
      </c>
      <c r="M41" s="97">
        <v>5.8494781339085221E-2</v>
      </c>
      <c r="O41" s="97">
        <v>6.0501002090982393E-2</v>
      </c>
      <c r="Q41" s="97">
        <v>6.2508126311518142E-2</v>
      </c>
      <c r="S41" s="97">
        <v>6.4516140160998103E-2</v>
      </c>
      <c r="U41" s="97">
        <v>6.1081116787393461E-2</v>
      </c>
      <c r="V41" s="98" t="s">
        <v>32</v>
      </c>
      <c r="W41" s="99">
        <v>0.16917916666666663</v>
      </c>
    </row>
    <row r="43" spans="1:23" ht="13.2" customHeight="1" x14ac:dyDescent="0.25">
      <c r="A43" s="95">
        <v>98.182709222831235</v>
      </c>
      <c r="C43" s="95">
        <v>98.617634921938418</v>
      </c>
      <c r="E43" s="95">
        <v>99.054789563523158</v>
      </c>
      <c r="G43" s="95">
        <v>99.494190736589275</v>
      </c>
      <c r="I43" s="95">
        <v>99.935855953380553</v>
      </c>
      <c r="K43" s="95">
        <v>100.37980264636003</v>
      </c>
      <c r="M43" s="95">
        <v>100.88656194624967</v>
      </c>
      <c r="O43" s="95">
        <v>101.4164935218181</v>
      </c>
      <c r="Q43" s="95">
        <v>101.96993905820787</v>
      </c>
      <c r="S43" s="95">
        <v>102.54725627012213</v>
      </c>
      <c r="U43" s="95">
        <v>97.148812753299254</v>
      </c>
      <c r="V43" s="98" t="s">
        <v>30</v>
      </c>
      <c r="W43" s="99">
        <v>0.16666666666666666</v>
      </c>
    </row>
    <row r="44" spans="1:23" ht="13.2" customHeight="1" x14ac:dyDescent="0.25">
      <c r="A44" s="95">
        <v>0.34120283718142008</v>
      </c>
      <c r="C44" s="95">
        <v>0.30080431112891637</v>
      </c>
      <c r="E44" s="95">
        <v>0.25947844974468942</v>
      </c>
      <c r="G44" s="95">
        <v>0.21741295255512272</v>
      </c>
      <c r="I44" s="95">
        <v>0.17494045516280254</v>
      </c>
      <c r="K44" s="95">
        <v>0.13263790589725694</v>
      </c>
      <c r="M44" s="95">
        <v>9.1556930069904147E-2</v>
      </c>
      <c r="O44" s="95">
        <v>5.3339136364140685E-2</v>
      </c>
      <c r="Q44" s="95">
        <v>2.1016006486994768E-2</v>
      </c>
      <c r="S44" s="95">
        <v>0</v>
      </c>
      <c r="U44" s="95">
        <v>0</v>
      </c>
      <c r="V44" s="98" t="s">
        <v>31</v>
      </c>
      <c r="W44" s="99">
        <v>0.66666666666666674</v>
      </c>
    </row>
    <row r="45" spans="1:23" ht="13.2" customHeight="1" x14ac:dyDescent="0.25">
      <c r="A45" s="97">
        <v>4.4999999999999998E-2</v>
      </c>
      <c r="C45" s="97">
        <v>4.5000499999986142E-2</v>
      </c>
      <c r="E45" s="97">
        <v>4.5001990012512177E-2</v>
      </c>
      <c r="G45" s="97">
        <v>4.500445518712675E-2</v>
      </c>
      <c r="I45" s="97">
        <v>4.5007880846506858E-2</v>
      </c>
      <c r="K45" s="97">
        <v>5.1012252484440287E-2</v>
      </c>
      <c r="M45" s="97">
        <v>5.301755576403356E-2</v>
      </c>
      <c r="O45" s="97">
        <v>5.5023776515930732E-2</v>
      </c>
      <c r="Q45" s="97">
        <v>5.7030900736466487E-2</v>
      </c>
      <c r="S45" s="97">
        <v>5.9038914585946449E-2</v>
      </c>
      <c r="U45" s="97">
        <v>5.5603891212341799E-2</v>
      </c>
      <c r="V45" s="98" t="s">
        <v>32</v>
      </c>
      <c r="W45" s="99">
        <v>0.16666666666666666</v>
      </c>
    </row>
    <row r="47" spans="1:23" ht="13.2" customHeight="1" x14ac:dyDescent="0.25">
      <c r="C47" s="95">
        <v>100.74424803392311</v>
      </c>
      <c r="E47" s="95">
        <v>101.14595098719856</v>
      </c>
      <c r="G47" s="95">
        <v>101.54934535334148</v>
      </c>
      <c r="I47" s="95">
        <v>101.95444238053651</v>
      </c>
      <c r="K47" s="95">
        <v>102.36125315873811</v>
      </c>
      <c r="M47" s="95">
        <v>102.83146899145554</v>
      </c>
      <c r="O47" s="95">
        <v>103.32461276186119</v>
      </c>
      <c r="Q47" s="95">
        <v>103.84099601590735</v>
      </c>
      <c r="S47" s="95">
        <v>104.38094566338259</v>
      </c>
      <c r="U47" s="95">
        <v>98.945300973509035</v>
      </c>
      <c r="V47" s="98" t="s">
        <v>30</v>
      </c>
      <c r="W47" s="99">
        <v>0.16917916666666663</v>
      </c>
    </row>
    <row r="48" spans="1:23" ht="13.2" customHeight="1" x14ac:dyDescent="0.25">
      <c r="C48" s="95">
        <v>0.75706315917043421</v>
      </c>
      <c r="E48" s="95">
        <v>0.69996168785121493</v>
      </c>
      <c r="G48" s="95">
        <v>0.63871682884856151</v>
      </c>
      <c r="I48" s="95">
        <v>0.57263695348268639</v>
      </c>
      <c r="K48" s="95">
        <v>0.50082574505345445</v>
      </c>
      <c r="M48" s="95">
        <v>0.4223563554323328</v>
      </c>
      <c r="O48" s="95">
        <v>0.33537121957508792</v>
      </c>
      <c r="Q48" s="95">
        <v>0.23773659827887839</v>
      </c>
      <c r="S48" s="95">
        <v>0.12681723054552246</v>
      </c>
      <c r="U48" s="95">
        <v>0</v>
      </c>
      <c r="V48" s="98" t="s">
        <v>31</v>
      </c>
      <c r="W48" s="99">
        <v>0.66664166666666669</v>
      </c>
    </row>
    <row r="49" spans="3:23" ht="13.2" customHeight="1" x14ac:dyDescent="0.25">
      <c r="C49" s="97">
        <v>3.9523274424934481E-2</v>
      </c>
      <c r="E49" s="97">
        <v>3.9524764437460516E-2</v>
      </c>
      <c r="G49" s="97">
        <v>3.9527229612075089E-2</v>
      </c>
      <c r="I49" s="97">
        <v>3.9530655271455196E-2</v>
      </c>
      <c r="K49" s="97">
        <v>4.5535026909388626E-2</v>
      </c>
      <c r="M49" s="97">
        <v>4.7540330188981898E-2</v>
      </c>
      <c r="O49" s="97">
        <v>4.9546550940879071E-2</v>
      </c>
      <c r="Q49" s="97">
        <v>5.1553675161414826E-2</v>
      </c>
      <c r="S49" s="97">
        <v>5.3561689010894788E-2</v>
      </c>
      <c r="U49" s="97">
        <v>5.0126665637290138E-2</v>
      </c>
      <c r="V49" s="98" t="s">
        <v>32</v>
      </c>
      <c r="W49" s="99">
        <v>0.16417916666666668</v>
      </c>
    </row>
    <row r="51" spans="3:23" ht="13.2" customHeight="1" x14ac:dyDescent="0.25">
      <c r="E51" s="95">
        <v>103.28438539009422</v>
      </c>
      <c r="G51" s="95">
        <v>103.65012002045428</v>
      </c>
      <c r="I51" s="95">
        <v>104.01701375043638</v>
      </c>
      <c r="K51" s="95">
        <v>104.38507219068484</v>
      </c>
      <c r="M51" s="95">
        <v>104.81717216949691</v>
      </c>
      <c r="O51" s="95">
        <v>105.27198218573113</v>
      </c>
      <c r="Q51" s="95">
        <v>105.74978368653898</v>
      </c>
      <c r="S51" s="95">
        <v>106.25087286729425</v>
      </c>
      <c r="U51" s="95">
        <v>100.77658030548932</v>
      </c>
      <c r="V51" s="98" t="s">
        <v>30</v>
      </c>
      <c r="W51" s="99">
        <v>0.17171666666666663</v>
      </c>
    </row>
    <row r="52" spans="3:23" ht="13.2" customHeight="1" x14ac:dyDescent="0.25">
      <c r="E52" s="95">
        <v>1.5199204165032589</v>
      </c>
      <c r="G52" s="95">
        <v>1.4627723845727829</v>
      </c>
      <c r="I52" s="95">
        <v>1.4003394398249998</v>
      </c>
      <c r="K52" s="95">
        <v>1.3314370493115619</v>
      </c>
      <c r="M52" s="95">
        <v>1.2551019158985126</v>
      </c>
      <c r="O52" s="95">
        <v>1.1680698370531675</v>
      </c>
      <c r="Q52" s="95">
        <v>1.0658867536984333</v>
      </c>
      <c r="S52" s="95">
        <v>0.94058056032941462</v>
      </c>
      <c r="U52" s="103">
        <v>0.77658030548931833</v>
      </c>
      <c r="V52" s="98" t="s">
        <v>31</v>
      </c>
      <c r="W52" s="99">
        <v>0.66656666666666664</v>
      </c>
    </row>
    <row r="53" spans="3:23" ht="13.2" customHeight="1" x14ac:dyDescent="0.25">
      <c r="E53" s="97">
        <v>3.4047538862408855E-2</v>
      </c>
      <c r="G53" s="97">
        <v>3.4050004037023428E-2</v>
      </c>
      <c r="I53" s="97">
        <v>3.4053429696403535E-2</v>
      </c>
      <c r="K53" s="97">
        <v>4.0057801334336965E-2</v>
      </c>
      <c r="M53" s="97">
        <v>4.206310461393023E-2</v>
      </c>
      <c r="O53" s="97">
        <v>4.406932536582741E-2</v>
      </c>
      <c r="Q53" s="97">
        <v>4.6076449586363165E-2</v>
      </c>
      <c r="S53" s="97">
        <v>4.8084463435843126E-2</v>
      </c>
      <c r="U53" s="97">
        <v>4.4649440062238477E-2</v>
      </c>
      <c r="V53" s="98" t="s">
        <v>32</v>
      </c>
      <c r="W53" s="99">
        <v>0.1617166666666667</v>
      </c>
    </row>
    <row r="55" spans="3:23" ht="13.2" customHeight="1" x14ac:dyDescent="0.25">
      <c r="G55" s="95">
        <v>105.79755136702649</v>
      </c>
      <c r="I55" s="95">
        <v>106.12455098748127</v>
      </c>
      <c r="K55" s="95">
        <v>106.45218665617347</v>
      </c>
      <c r="M55" s="95">
        <v>106.84454660199869</v>
      </c>
      <c r="O55" s="95">
        <v>107.25942691779008</v>
      </c>
      <c r="Q55" s="95">
        <v>107.69707896206275</v>
      </c>
      <c r="S55" s="95">
        <v>108.15776827643141</v>
      </c>
      <c r="U55" s="95">
        <v>102.64333692854412</v>
      </c>
      <c r="V55" s="98" t="s">
        <v>30</v>
      </c>
      <c r="W55" s="99">
        <v>0.17427916666666685</v>
      </c>
    </row>
    <row r="56" spans="3:23" ht="13.2" customHeight="1" x14ac:dyDescent="0.25">
      <c r="G56" s="95">
        <v>2.72322304797542</v>
      </c>
      <c r="I56" s="95">
        <v>2.6961396249141854</v>
      </c>
      <c r="K56" s="95">
        <v>2.6690169298914954</v>
      </c>
      <c r="M56" s="95">
        <v>2.6444179989590268</v>
      </c>
      <c r="O56" s="95">
        <v>2.6231503913288936</v>
      </c>
      <c r="Q56" s="95">
        <v>2.6090129936265707</v>
      </c>
      <c r="S56" s="95">
        <v>2.6099538234665185</v>
      </c>
      <c r="U56" s="103">
        <v>2.6433369285441159</v>
      </c>
      <c r="V56" s="98" t="s">
        <v>31</v>
      </c>
      <c r="W56" s="99">
        <v>0.6664416666666666</v>
      </c>
    </row>
    <row r="57" spans="3:23" ht="13.2" customHeight="1" x14ac:dyDescent="0.25">
      <c r="G57" s="97">
        <v>2.8572778461971763E-2</v>
      </c>
      <c r="I57" s="97">
        <v>2.8576204121351877E-2</v>
      </c>
      <c r="K57" s="97">
        <v>3.4580575759285304E-2</v>
      </c>
      <c r="M57" s="97">
        <v>3.6585879038878569E-2</v>
      </c>
      <c r="O57" s="97">
        <v>3.8592099790775748E-2</v>
      </c>
      <c r="Q57" s="97">
        <v>4.0599224011311504E-2</v>
      </c>
      <c r="S57" s="97">
        <v>4.2607237860791465E-2</v>
      </c>
      <c r="U57" s="97">
        <v>3.9172214487186816E-2</v>
      </c>
      <c r="V57" s="98" t="s">
        <v>32</v>
      </c>
      <c r="W57" s="99">
        <v>0.1592791666666665</v>
      </c>
    </row>
    <row r="59" spans="3:23" ht="13.2" customHeight="1" x14ac:dyDescent="0.25">
      <c r="I59" s="95">
        <v>108.2780570992349</v>
      </c>
      <c r="K59" s="95">
        <v>108.56354393488158</v>
      </c>
      <c r="M59" s="95">
        <v>108.9144863515538</v>
      </c>
      <c r="O59" s="95">
        <v>109.28778957984117</v>
      </c>
      <c r="Q59" s="95">
        <v>109.6836748669346</v>
      </c>
      <c r="S59" s="95">
        <v>110.10237712892616</v>
      </c>
      <c r="U59" s="95">
        <v>104.54627066536587</v>
      </c>
      <c r="V59" s="98" t="s">
        <v>30</v>
      </c>
      <c r="W59" s="99">
        <v>0.17686666666666656</v>
      </c>
    </row>
    <row r="60" spans="3:23" ht="13.2" customHeight="1" x14ac:dyDescent="0.25">
      <c r="I60" s="95">
        <v>4.3329295244829602</v>
      </c>
      <c r="K60" s="95">
        <v>4.3512869342987699</v>
      </c>
      <c r="M60" s="95">
        <v>4.3770574696096887</v>
      </c>
      <c r="O60" s="95">
        <v>4.4096388282194185</v>
      </c>
      <c r="Q60" s="95">
        <v>4.4499003253583354</v>
      </c>
      <c r="S60" s="95">
        <v>4.4972695294299099</v>
      </c>
      <c r="U60" s="103">
        <v>4.5462706653658671</v>
      </c>
      <c r="V60" s="98" t="s">
        <v>31</v>
      </c>
      <c r="W60" s="99">
        <v>0.66626666666666667</v>
      </c>
    </row>
    <row r="61" spans="3:23" ht="13.2" customHeight="1" x14ac:dyDescent="0.25">
      <c r="I61" s="97">
        <v>2.3098978546300216E-2</v>
      </c>
      <c r="K61" s="97">
        <v>2.9103350184233646E-2</v>
      </c>
      <c r="M61" s="97">
        <v>3.1108653463826904E-2</v>
      </c>
      <c r="O61" s="97">
        <v>3.3114874215724094E-2</v>
      </c>
      <c r="Q61" s="97">
        <v>3.5121998436259849E-2</v>
      </c>
      <c r="S61" s="97">
        <v>3.7130012285739811E-2</v>
      </c>
      <c r="U61" s="97">
        <v>3.3694988912135154E-2</v>
      </c>
      <c r="V61" s="98" t="s">
        <v>32</v>
      </c>
      <c r="W61" s="99">
        <v>0.15686666666666677</v>
      </c>
    </row>
    <row r="63" spans="3:23" ht="13.2" customHeight="1" x14ac:dyDescent="0.25">
      <c r="K63" s="95">
        <v>110.72011232616762</v>
      </c>
      <c r="M63" s="95">
        <v>111.02790483354306</v>
      </c>
      <c r="O63" s="95">
        <v>111.35793066382412</v>
      </c>
      <c r="Q63" s="95">
        <v>111.71038089455732</v>
      </c>
      <c r="S63" s="95">
        <v>112.08545980940593</v>
      </c>
      <c r="U63" s="95">
        <v>106.4860952544289</v>
      </c>
      <c r="V63" s="98" t="s">
        <v>30</v>
      </c>
      <c r="W63" s="99">
        <v>0.17947916666666661</v>
      </c>
    </row>
    <row r="64" spans="3:23" ht="13.2" customHeight="1" x14ac:dyDescent="0.25">
      <c r="K64" s="95">
        <v>6.1948925734764675</v>
      </c>
      <c r="M64" s="95">
        <v>6.2471665697185985</v>
      </c>
      <c r="O64" s="95">
        <v>6.303135645637215</v>
      </c>
      <c r="Q64" s="95">
        <v>6.3620769749179145</v>
      </c>
      <c r="S64" s="95">
        <v>6.4230480110860979</v>
      </c>
      <c r="U64" s="103">
        <v>6.4860952544289034</v>
      </c>
      <c r="V64" s="98" t="s">
        <v>31</v>
      </c>
      <c r="W64" s="99">
        <v>0.66604166666666664</v>
      </c>
    </row>
    <row r="65" spans="11:23" ht="13.2" customHeight="1" x14ac:dyDescent="0.25">
      <c r="K65" s="97">
        <v>2.3626124609181984E-2</v>
      </c>
      <c r="M65" s="97">
        <v>2.5631427888775239E-2</v>
      </c>
      <c r="O65" s="97">
        <v>2.7637648640672429E-2</v>
      </c>
      <c r="Q65" s="97">
        <v>2.9644772861208184E-2</v>
      </c>
      <c r="S65" s="97">
        <v>3.1652786710688149E-2</v>
      </c>
      <c r="U65" s="97">
        <v>2.8217763337083496E-2</v>
      </c>
      <c r="V65" s="98" t="s">
        <v>32</v>
      </c>
      <c r="W65" s="99">
        <v>0.15447916666666672</v>
      </c>
    </row>
    <row r="67" spans="11:23" ht="13.2" customHeight="1" x14ac:dyDescent="0.25">
      <c r="M67" s="95">
        <v>113.18573523693226</v>
      </c>
      <c r="O67" s="95">
        <v>113.47072891246944</v>
      </c>
      <c r="Q67" s="95">
        <v>113.77802335076574</v>
      </c>
      <c r="S67" s="95">
        <v>114.10779215812873</v>
      </c>
      <c r="U67" s="95">
        <v>108.46353862783413</v>
      </c>
      <c r="V67" s="98" t="s">
        <v>30</v>
      </c>
      <c r="W67" s="99">
        <v>0.18211666666666701</v>
      </c>
    </row>
    <row r="68" spans="11:23" ht="13.2" customHeight="1" x14ac:dyDescent="0.25">
      <c r="M68" s="95">
        <v>8.1763915054588523</v>
      </c>
      <c r="O68" s="95">
        <v>8.2445435385269175</v>
      </c>
      <c r="Q68" s="95">
        <v>8.3150848060642666</v>
      </c>
      <c r="S68" s="95">
        <v>8.3880657099082718</v>
      </c>
      <c r="U68" s="103">
        <v>8.4635386278341258</v>
      </c>
      <c r="V68" s="98" t="s">
        <v>31</v>
      </c>
      <c r="W68" s="99">
        <v>0.66576666666666662</v>
      </c>
    </row>
    <row r="69" spans="11:23" ht="13.2" customHeight="1" x14ac:dyDescent="0.25">
      <c r="M69" s="97">
        <v>2.0154202313723578E-2</v>
      </c>
      <c r="O69" s="97">
        <v>2.2160423065620771E-2</v>
      </c>
      <c r="Q69" s="97">
        <v>2.4167547286156527E-2</v>
      </c>
      <c r="S69" s="97">
        <v>2.6175561135636488E-2</v>
      </c>
      <c r="U69" s="97">
        <v>2.2740537762031839E-2</v>
      </c>
      <c r="V69" s="98" t="s">
        <v>32</v>
      </c>
      <c r="W69" s="99">
        <v>0.15211666666666637</v>
      </c>
    </row>
    <row r="71" spans="11:23" ht="13.2" customHeight="1" x14ac:dyDescent="0.25">
      <c r="O71" s="95">
        <v>115.62708170808165</v>
      </c>
      <c r="Q71" s="95">
        <v>115.88744570449353</v>
      </c>
      <c r="S71" s="95">
        <v>116.17016578644262</v>
      </c>
      <c r="U71" s="95">
        <v>110.47934319471426</v>
      </c>
      <c r="V71" s="98" t="s">
        <v>30</v>
      </c>
      <c r="W71" s="99">
        <v>0.18477916666666674</v>
      </c>
    </row>
    <row r="72" spans="11:23" ht="13.2" customHeight="1" x14ac:dyDescent="0.25">
      <c r="O72" s="95">
        <v>10.2292450809756</v>
      </c>
      <c r="Q72" s="95">
        <v>10.309767777806231</v>
      </c>
      <c r="S72" s="95">
        <v>10.393114855145498</v>
      </c>
      <c r="U72" s="103">
        <v>10.479343194714261</v>
      </c>
      <c r="V72" s="98" t="s">
        <v>31</v>
      </c>
      <c r="W72" s="99">
        <v>0.66544166666666671</v>
      </c>
    </row>
    <row r="73" spans="11:23" ht="13.2" customHeight="1" x14ac:dyDescent="0.25">
      <c r="O73" s="97">
        <v>1.668319749056911E-2</v>
      </c>
      <c r="Q73" s="97">
        <v>1.8690321711104865E-2</v>
      </c>
      <c r="S73" s="97">
        <v>2.0698335560584827E-2</v>
      </c>
      <c r="U73" s="97">
        <v>1.7263312186980177E-2</v>
      </c>
      <c r="V73" s="98" t="s">
        <v>32</v>
      </c>
      <c r="W73" s="99">
        <v>0.1497791666666666</v>
      </c>
    </row>
    <row r="75" spans="11:23" ht="13.2" customHeight="1" x14ac:dyDescent="0.25">
      <c r="Q75" s="95">
        <v>118.03950894577206</v>
      </c>
      <c r="S75" s="95">
        <v>118.27338839869974</v>
      </c>
      <c r="U75" s="95">
        <v>112.53426613031087</v>
      </c>
      <c r="V75" s="98" t="s">
        <v>30</v>
      </c>
      <c r="W75" s="99">
        <v>0.18746666666666645</v>
      </c>
    </row>
    <row r="76" spans="11:23" ht="13.2" customHeight="1" x14ac:dyDescent="0.25">
      <c r="Q76" s="95">
        <v>12.346987387387722</v>
      </c>
      <c r="S76" s="95">
        <v>12.43900378616148</v>
      </c>
      <c r="U76" s="103">
        <v>12.534266130310868</v>
      </c>
      <c r="V76" s="98" t="s">
        <v>31</v>
      </c>
      <c r="W76" s="99">
        <v>0.66506666666666669</v>
      </c>
    </row>
    <row r="77" spans="11:23" ht="13.2" customHeight="1" x14ac:dyDescent="0.25">
      <c r="Q77" s="97">
        <v>1.3213096136053204E-2</v>
      </c>
      <c r="S77" s="97">
        <v>1.5221109985533166E-2</v>
      </c>
      <c r="U77" s="97">
        <v>1.1786086611928516E-2</v>
      </c>
      <c r="V77" s="98" t="s">
        <v>32</v>
      </c>
      <c r="W77" s="99">
        <v>0.14746666666666686</v>
      </c>
    </row>
    <row r="79" spans="11:23" ht="13.2" customHeight="1" x14ac:dyDescent="0.25">
      <c r="S79" s="95">
        <v>120.41828412075628</v>
      </c>
      <c r="U79" s="95">
        <v>114.62907967083721</v>
      </c>
      <c r="V79" s="98" t="s">
        <v>30</v>
      </c>
      <c r="W79" s="99">
        <v>0.19017916666666684</v>
      </c>
    </row>
    <row r="80" spans="11:23" ht="13.2" customHeight="1" x14ac:dyDescent="0.25">
      <c r="S80" s="95">
        <v>14.526557281370229</v>
      </c>
      <c r="U80" s="103">
        <v>14.629079670837214</v>
      </c>
      <c r="V80" s="98" t="s">
        <v>31</v>
      </c>
      <c r="W80" s="99">
        <v>0.66464166666666669</v>
      </c>
    </row>
    <row r="81" spans="1:23" ht="13.2" customHeight="1" x14ac:dyDescent="0.25">
      <c r="S81" s="97">
        <v>9.7438844104815042E-3</v>
      </c>
      <c r="U81" s="97">
        <v>6.3088610368768555E-3</v>
      </c>
      <c r="V81" s="98" t="s">
        <v>32</v>
      </c>
      <c r="W81" s="99">
        <v>0.1451791666666665</v>
      </c>
    </row>
    <row r="83" spans="1:23" ht="13.2" customHeight="1" x14ac:dyDescent="0.25">
      <c r="U83" s="95">
        <v>116.76457141424245</v>
      </c>
    </row>
    <row r="84" spans="1:23" ht="13.2" customHeight="1" x14ac:dyDescent="0.25">
      <c r="U84" s="103">
        <v>16.764571414242454</v>
      </c>
    </row>
    <row r="85" spans="1:23" ht="13.2" customHeight="1" x14ac:dyDescent="0.25">
      <c r="U85" s="97">
        <v>8.3163546182519511E-4</v>
      </c>
    </row>
    <row r="86" spans="1:23" ht="13.2" customHeight="1" x14ac:dyDescent="0.25">
      <c r="A86" t="s">
        <v>4</v>
      </c>
    </row>
    <row r="87" spans="1:23" ht="13.2" customHeight="1" x14ac:dyDescent="0.25">
      <c r="A87" s="96">
        <v>0</v>
      </c>
      <c r="C87" s="96">
        <v>0.1</v>
      </c>
      <c r="E87" s="96">
        <v>0.2</v>
      </c>
      <c r="G87" s="96">
        <v>0.30000000000000004</v>
      </c>
      <c r="I87" s="96">
        <v>0.4</v>
      </c>
      <c r="K87" s="96">
        <v>0.5</v>
      </c>
      <c r="M87" s="96">
        <v>0.60000000000000009</v>
      </c>
      <c r="O87" s="96">
        <v>0.70000000000000007</v>
      </c>
      <c r="Q87" s="96">
        <v>0.8</v>
      </c>
      <c r="S87" s="96">
        <v>0.9</v>
      </c>
      <c r="U87" s="96">
        <v>1</v>
      </c>
    </row>
    <row r="88" spans="1:23" ht="13.2" customHeight="1" x14ac:dyDescent="0.25">
      <c r="A88" t="s">
        <v>153</v>
      </c>
    </row>
    <row r="89" spans="1:23" ht="13.2" customHeight="1" x14ac:dyDescent="0.25">
      <c r="A89" s="96">
        <v>0</v>
      </c>
      <c r="C89" s="96">
        <v>0.60000000000000009</v>
      </c>
      <c r="E89" s="96">
        <v>1.2000000000000002</v>
      </c>
      <c r="G89" s="96">
        <v>1.8000000000000003</v>
      </c>
      <c r="I89" s="96">
        <v>2.4000000000000004</v>
      </c>
      <c r="K89" s="96">
        <v>3</v>
      </c>
      <c r="M89" s="96">
        <v>3.6000000000000005</v>
      </c>
      <c r="O89" s="96">
        <v>4.2</v>
      </c>
      <c r="Q89" s="96">
        <v>4.8000000000000007</v>
      </c>
      <c r="S89" s="96">
        <v>5.4</v>
      </c>
      <c r="U89" s="96">
        <v>0</v>
      </c>
    </row>
  </sheetData>
  <phoneticPr fontId="6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Z333"/>
  <sheetViews>
    <sheetView topLeftCell="B3" zoomScale="108" zoomScaleNormal="108" workbookViewId="0">
      <selection activeCell="F11" sqref="F11"/>
    </sheetView>
  </sheetViews>
  <sheetFormatPr defaultColWidth="9.109375" defaultRowHeight="13.2" x14ac:dyDescent="0.25"/>
  <cols>
    <col min="1" max="7" width="9" style="100" customWidth="1"/>
    <col min="8" max="8" width="9.5546875" style="100" customWidth="1"/>
    <col min="9" max="9" width="9.6640625" style="100" customWidth="1"/>
    <col min="10" max="16384" width="9.109375" style="100"/>
  </cols>
  <sheetData>
    <row r="1" spans="1:26" x14ac:dyDescent="0.25">
      <c r="A1" s="40" t="s">
        <v>33</v>
      </c>
      <c r="B1" s="41"/>
      <c r="C1" s="41"/>
      <c r="D1" s="41"/>
      <c r="E1" s="41"/>
      <c r="F1" s="41"/>
      <c r="G1" s="41"/>
      <c r="H1" s="41" t="s">
        <v>34</v>
      </c>
      <c r="I1" s="41"/>
      <c r="J1" s="42"/>
      <c r="K1" s="41" t="s">
        <v>6</v>
      </c>
      <c r="L1" s="41"/>
      <c r="M1" s="41"/>
      <c r="N1" s="41"/>
      <c r="O1" s="43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45"/>
      <c r="B2" s="46"/>
      <c r="C2" s="46"/>
      <c r="D2" s="46"/>
      <c r="E2" s="46"/>
      <c r="F2" s="46"/>
      <c r="G2" s="46"/>
      <c r="H2" s="47" t="s">
        <v>35</v>
      </c>
      <c r="I2" s="46" t="s">
        <v>36</v>
      </c>
      <c r="J2" s="48"/>
      <c r="K2" s="27"/>
      <c r="L2" s="27" t="s">
        <v>8</v>
      </c>
      <c r="M2" s="27"/>
      <c r="N2" s="27"/>
      <c r="O2" s="48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49"/>
      <c r="B3" s="27"/>
      <c r="C3" s="39" t="s">
        <v>37</v>
      </c>
      <c r="D3" s="13">
        <v>100</v>
      </c>
      <c r="E3" s="27"/>
      <c r="F3" s="47" t="s">
        <v>38</v>
      </c>
      <c r="G3" s="27"/>
      <c r="H3" s="13">
        <v>1</v>
      </c>
      <c r="I3" s="50">
        <v>0.05</v>
      </c>
      <c r="J3" s="48"/>
      <c r="K3" s="27"/>
      <c r="L3" s="27"/>
      <c r="M3" s="27"/>
      <c r="N3" s="27"/>
      <c r="O3" s="48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49"/>
      <c r="B4" s="27"/>
      <c r="C4" s="39" t="s">
        <v>39</v>
      </c>
      <c r="D4" s="13">
        <v>10</v>
      </c>
      <c r="E4" s="27"/>
      <c r="F4" s="27"/>
      <c r="G4" s="27"/>
      <c r="H4" s="13"/>
      <c r="I4" s="50"/>
      <c r="J4" s="48"/>
      <c r="K4" s="27"/>
      <c r="L4" s="27"/>
      <c r="M4" s="27"/>
      <c r="N4" s="27"/>
      <c r="O4" s="48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49"/>
      <c r="B5" s="27"/>
      <c r="C5" s="39" t="s">
        <v>40</v>
      </c>
      <c r="D5" s="50">
        <v>0.08</v>
      </c>
      <c r="E5" s="27"/>
      <c r="F5" s="27"/>
      <c r="G5" s="27"/>
      <c r="H5" s="13"/>
      <c r="I5" s="50"/>
      <c r="J5" s="48"/>
      <c r="K5" s="27"/>
      <c r="L5" s="26" t="s">
        <v>9</v>
      </c>
      <c r="M5" s="27"/>
      <c r="N5" s="27"/>
      <c r="O5" s="48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49"/>
      <c r="B6" s="27"/>
      <c r="C6" s="39" t="s">
        <v>41</v>
      </c>
      <c r="D6" s="13">
        <v>122.82450061368149</v>
      </c>
      <c r="E6" s="27"/>
      <c r="F6" s="27"/>
      <c r="G6" s="27"/>
      <c r="H6" s="13"/>
      <c r="I6" s="50"/>
      <c r="J6" s="48"/>
      <c r="K6" s="27"/>
      <c r="L6" s="27"/>
      <c r="M6" s="27"/>
      <c r="N6" s="27"/>
      <c r="O6" s="48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x14ac:dyDescent="0.25">
      <c r="A7" s="49"/>
      <c r="B7" s="27"/>
      <c r="C7" s="27"/>
      <c r="D7" s="27"/>
      <c r="E7" s="27"/>
      <c r="F7" s="27"/>
      <c r="G7" s="27"/>
      <c r="H7" s="13"/>
      <c r="I7" s="50"/>
      <c r="J7" s="48"/>
      <c r="K7" s="27"/>
      <c r="L7" s="27"/>
      <c r="M7" s="27"/>
      <c r="N7" s="27"/>
      <c r="O7" s="48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5">
      <c r="A8" s="51" t="s">
        <v>15</v>
      </c>
      <c r="B8" s="52"/>
      <c r="C8" s="52"/>
      <c r="D8" s="52"/>
      <c r="E8" s="52"/>
      <c r="F8" s="46"/>
      <c r="G8" s="53"/>
      <c r="H8" s="13"/>
      <c r="I8" s="50"/>
      <c r="J8" s="48"/>
      <c r="K8" s="27"/>
      <c r="L8" s="27"/>
      <c r="M8" s="39" t="s">
        <v>13</v>
      </c>
      <c r="N8" s="19">
        <v>-0.01</v>
      </c>
      <c r="O8" s="48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49"/>
      <c r="B9" s="26" t="s">
        <v>42</v>
      </c>
      <c r="C9" s="27"/>
      <c r="D9" s="27"/>
      <c r="E9" s="27"/>
      <c r="F9" s="27"/>
      <c r="G9" s="27"/>
      <c r="H9" s="13"/>
      <c r="I9" s="50"/>
      <c r="J9" s="48"/>
      <c r="K9" s="27"/>
      <c r="L9" s="27"/>
      <c r="M9" s="39" t="s">
        <v>14</v>
      </c>
      <c r="N9" s="19">
        <v>0.01</v>
      </c>
      <c r="O9" s="48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49"/>
      <c r="B10" s="27"/>
      <c r="C10" s="27"/>
      <c r="D10" s="27"/>
      <c r="E10" s="27"/>
      <c r="F10" s="27"/>
      <c r="G10" s="27"/>
      <c r="H10" s="13"/>
      <c r="I10" s="50"/>
      <c r="J10" s="48"/>
      <c r="K10" s="27"/>
      <c r="L10" s="27"/>
      <c r="M10" s="27"/>
      <c r="N10" s="27"/>
      <c r="O10" s="48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49"/>
      <c r="B11" s="27"/>
      <c r="C11" s="27"/>
      <c r="D11" s="27"/>
      <c r="E11" s="27"/>
      <c r="F11" s="27"/>
      <c r="G11" s="27"/>
      <c r="H11" s="13"/>
      <c r="I11" s="50"/>
      <c r="J11" s="48"/>
      <c r="K11" s="27"/>
      <c r="L11" s="27"/>
      <c r="M11" s="27"/>
      <c r="N11" s="27"/>
      <c r="O11" s="48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49"/>
      <c r="B12" s="27"/>
      <c r="C12" s="38" t="s">
        <v>43</v>
      </c>
      <c r="D12" s="18">
        <v>115</v>
      </c>
      <c r="E12" s="27"/>
      <c r="F12" s="27"/>
      <c r="G12" s="27"/>
      <c r="H12" s="13"/>
      <c r="I12" s="50"/>
      <c r="J12" s="48"/>
      <c r="K12" s="27"/>
      <c r="L12" s="27"/>
      <c r="M12" s="27"/>
      <c r="N12" s="27"/>
      <c r="O12" s="48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49"/>
      <c r="B13" s="27"/>
      <c r="C13" s="38" t="s">
        <v>44</v>
      </c>
      <c r="D13" s="18">
        <v>2.25</v>
      </c>
      <c r="E13" s="27"/>
      <c r="F13" s="27"/>
      <c r="G13" s="27"/>
      <c r="H13" s="13"/>
      <c r="I13" s="50"/>
      <c r="J13" s="48"/>
      <c r="K13" s="54"/>
      <c r="L13" s="54"/>
      <c r="M13" s="54"/>
      <c r="N13" s="54"/>
      <c r="O13" s="5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49"/>
      <c r="B14" s="27"/>
      <c r="C14" s="38" t="s">
        <v>123</v>
      </c>
      <c r="D14" s="19">
        <v>0.2</v>
      </c>
      <c r="E14" s="27"/>
      <c r="F14" s="27"/>
      <c r="G14" s="27"/>
      <c r="H14" s="13"/>
      <c r="I14" s="50"/>
      <c r="J14" s="48"/>
      <c r="K14"/>
      <c r="L14"/>
      <c r="M14"/>
      <c r="N14" s="44"/>
      <c r="O14" s="44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49"/>
      <c r="B15" s="27"/>
      <c r="C15" s="38"/>
      <c r="D15" s="22"/>
      <c r="E15" s="27"/>
      <c r="F15" s="27"/>
      <c r="G15" s="27"/>
      <c r="H15" s="13"/>
      <c r="I15" s="50"/>
      <c r="J15" s="48"/>
      <c r="K15"/>
      <c r="L15"/>
      <c r="M15"/>
      <c r="N15" s="44"/>
      <c r="O15" s="44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49"/>
      <c r="B16" s="27"/>
      <c r="C16" s="38"/>
      <c r="D16" s="22"/>
      <c r="E16" s="27"/>
      <c r="F16" s="27"/>
      <c r="G16" s="27"/>
      <c r="H16" s="13"/>
      <c r="I16" s="50"/>
      <c r="J16" s="48"/>
      <c r="K16"/>
      <c r="L16"/>
      <c r="M16"/>
      <c r="N16" s="44"/>
      <c r="O16" s="4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49"/>
      <c r="B17" s="27"/>
      <c r="C17" s="38"/>
      <c r="D17" s="38"/>
      <c r="E17" s="27"/>
      <c r="F17" s="27"/>
      <c r="G17" s="27"/>
      <c r="H17" s="13"/>
      <c r="I17" s="50"/>
      <c r="J17" s="48"/>
      <c r="K17"/>
      <c r="L17"/>
      <c r="M17"/>
      <c r="N17" s="44"/>
      <c r="O17" s="44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3.8" thickBot="1" x14ac:dyDescent="0.3">
      <c r="A18" s="56"/>
      <c r="B18" s="57"/>
      <c r="C18" s="57"/>
      <c r="D18" s="58"/>
      <c r="E18" s="57"/>
      <c r="F18" s="57"/>
      <c r="G18" s="57"/>
      <c r="H18" s="57"/>
      <c r="I18" s="57"/>
      <c r="J18" s="59"/>
      <c r="K18"/>
      <c r="L18"/>
      <c r="M18"/>
      <c r="N18" s="44"/>
      <c r="O18" s="44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3.8" thickTop="1" x14ac:dyDescent="0.25">
      <c r="A19" s="49"/>
      <c r="B19" s="27"/>
      <c r="C19" s="27"/>
      <c r="D19" s="27"/>
      <c r="E19" s="27"/>
      <c r="F19" s="27"/>
      <c r="G19" s="27"/>
      <c r="H19" s="27"/>
      <c r="I19" s="27"/>
      <c r="J19" s="48"/>
      <c r="K19"/>
      <c r="L19"/>
      <c r="M19"/>
      <c r="N19" s="44"/>
      <c r="O19" s="44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49"/>
      <c r="B20" s="27"/>
      <c r="C20" s="38" t="s">
        <v>21</v>
      </c>
      <c r="D20" s="21">
        <v>1.7413720377138804</v>
      </c>
      <c r="E20" s="27"/>
      <c r="F20" s="27"/>
      <c r="G20" s="27"/>
      <c r="H20" s="27"/>
      <c r="I20" s="27"/>
      <c r="J20" s="48"/>
      <c r="K20"/>
      <c r="L20"/>
      <c r="M20"/>
      <c r="N20" s="44"/>
      <c r="O20" s="44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49"/>
      <c r="B21" s="27"/>
      <c r="C21" s="39" t="s">
        <v>48</v>
      </c>
      <c r="D21" s="21">
        <v>2.3744172558123222E-2</v>
      </c>
      <c r="E21" s="27"/>
      <c r="F21" s="27"/>
      <c r="G21" s="27"/>
      <c r="H21" s="27"/>
      <c r="I21" s="27"/>
      <c r="J21" s="48"/>
      <c r="K21"/>
      <c r="L21"/>
      <c r="M21"/>
      <c r="N21" s="44"/>
      <c r="O21" s="44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49"/>
      <c r="B22" s="27"/>
      <c r="C22" s="39" t="s">
        <v>49</v>
      </c>
      <c r="D22" s="21">
        <v>1.649735597271107E-2</v>
      </c>
      <c r="E22" s="27"/>
      <c r="F22" s="27"/>
      <c r="G22" s="27"/>
      <c r="H22" s="27"/>
      <c r="I22" s="27"/>
      <c r="J22" s="48"/>
      <c r="K22"/>
      <c r="L22"/>
      <c r="M22"/>
      <c r="N22" s="44"/>
      <c r="O22" s="4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49"/>
      <c r="B23" s="27"/>
      <c r="C23" s="39" t="s">
        <v>24</v>
      </c>
      <c r="D23" s="21">
        <v>0.16226892802858806</v>
      </c>
      <c r="E23" s="27"/>
      <c r="F23" s="27"/>
      <c r="G23" s="27"/>
      <c r="H23" s="27"/>
      <c r="I23" s="27"/>
      <c r="J23" s="48"/>
      <c r="K23"/>
      <c r="L23"/>
      <c r="M23"/>
      <c r="N23" s="44"/>
      <c r="O23" s="4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60"/>
      <c r="B24" s="54"/>
      <c r="C24" s="54"/>
      <c r="D24" s="54"/>
      <c r="E24" s="54"/>
      <c r="F24" s="54"/>
      <c r="G24" s="54"/>
      <c r="H24" s="54"/>
      <c r="I24" s="54"/>
      <c r="J24" s="55"/>
      <c r="K24"/>
      <c r="L24"/>
      <c r="M24"/>
      <c r="N24" s="44"/>
      <c r="O24" s="4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J25" s="5"/>
      <c r="K25" s="5"/>
      <c r="L25" s="5"/>
      <c r="M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J26" s="5"/>
      <c r="K26" s="5"/>
      <c r="L26" s="5"/>
      <c r="M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5"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5"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5"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5"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5"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5"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5"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5"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0:26" x14ac:dyDescent="0.25"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0:26" x14ac:dyDescent="0.25"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0:26" x14ac:dyDescent="0.25"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0:26" x14ac:dyDescent="0.25"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0:26" x14ac:dyDescent="0.25"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0:26" x14ac:dyDescent="0.25"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0:26" x14ac:dyDescent="0.25"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0:26" x14ac:dyDescent="0.25"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0:26" x14ac:dyDescent="0.25"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0:26" x14ac:dyDescent="0.25"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0:26" x14ac:dyDescent="0.25"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0:26" x14ac:dyDescent="0.25"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0:26" x14ac:dyDescent="0.25"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0:26" x14ac:dyDescent="0.25"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0:26" x14ac:dyDescent="0.25"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0:26" x14ac:dyDescent="0.25"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0:26" x14ac:dyDescent="0.25"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0:26" x14ac:dyDescent="0.25"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0:26" x14ac:dyDescent="0.25"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0:26" x14ac:dyDescent="0.25"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0:26" x14ac:dyDescent="0.25"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0:26" x14ac:dyDescent="0.25"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0:26" x14ac:dyDescent="0.25"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0:26" x14ac:dyDescent="0.25"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0:26" x14ac:dyDescent="0.25"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0:26" x14ac:dyDescent="0.25"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0:26" x14ac:dyDescent="0.25"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0:26" x14ac:dyDescent="0.25"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0:26" x14ac:dyDescent="0.25"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0:26" x14ac:dyDescent="0.25"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0:26" x14ac:dyDescent="0.25"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0:26" x14ac:dyDescent="0.25"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0:26" x14ac:dyDescent="0.25"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0:26" x14ac:dyDescent="0.25"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0:26" x14ac:dyDescent="0.25"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0:26" x14ac:dyDescent="0.25"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0:26" x14ac:dyDescent="0.25"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0:26" x14ac:dyDescent="0.25"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0:26" x14ac:dyDescent="0.25"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0:26" x14ac:dyDescent="0.25"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0:26" x14ac:dyDescent="0.25"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0:26" x14ac:dyDescent="0.25"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0:26" x14ac:dyDescent="0.25"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0:26" x14ac:dyDescent="0.25"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0:26" x14ac:dyDescent="0.25"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0:26" x14ac:dyDescent="0.25"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0:26" x14ac:dyDescent="0.25"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0:26" x14ac:dyDescent="0.25"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0:26" x14ac:dyDescent="0.25"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0:26" x14ac:dyDescent="0.25"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0:26" x14ac:dyDescent="0.25"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0:26" x14ac:dyDescent="0.25"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0:26" x14ac:dyDescent="0.25"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0:26" x14ac:dyDescent="0.25"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0:26" x14ac:dyDescent="0.25"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0:26" x14ac:dyDescent="0.25"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0:26" x14ac:dyDescent="0.25"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0:26" x14ac:dyDescent="0.25"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0:26" x14ac:dyDescent="0.25"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0:26" x14ac:dyDescent="0.25"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0:26" x14ac:dyDescent="0.25"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0:26" x14ac:dyDescent="0.25"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0:26" x14ac:dyDescent="0.25"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0:26" x14ac:dyDescent="0.25"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0:26" x14ac:dyDescent="0.25"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0:26" x14ac:dyDescent="0.25"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0:26" x14ac:dyDescent="0.25"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0:26" x14ac:dyDescent="0.25"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0:26" x14ac:dyDescent="0.25"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0:26" x14ac:dyDescent="0.25"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0:26" x14ac:dyDescent="0.25"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0:26" x14ac:dyDescent="0.25"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0:26" x14ac:dyDescent="0.25"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0:26" x14ac:dyDescent="0.25"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0:26" x14ac:dyDescent="0.25"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0:26" x14ac:dyDescent="0.25"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0:26" x14ac:dyDescent="0.25"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0:26" x14ac:dyDescent="0.25"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0:26" x14ac:dyDescent="0.25"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0:26" x14ac:dyDescent="0.25"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0:26" x14ac:dyDescent="0.25"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0:26" x14ac:dyDescent="0.25"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0:26" x14ac:dyDescent="0.25"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0:26" x14ac:dyDescent="0.25"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0:26" x14ac:dyDescent="0.25"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0:26" x14ac:dyDescent="0.25"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0:26" x14ac:dyDescent="0.25"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0:26" x14ac:dyDescent="0.25"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0:26" x14ac:dyDescent="0.25"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0:26" x14ac:dyDescent="0.25"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0:26" x14ac:dyDescent="0.25"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0:26" x14ac:dyDescent="0.25"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0:26" x14ac:dyDescent="0.25"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0:26" x14ac:dyDescent="0.25"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0:26" x14ac:dyDescent="0.25"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0:26" x14ac:dyDescent="0.25"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0:26" x14ac:dyDescent="0.25"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0:26" x14ac:dyDescent="0.25"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0:26" x14ac:dyDescent="0.25"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0:26" x14ac:dyDescent="0.25"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0:26" x14ac:dyDescent="0.25"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0:26" x14ac:dyDescent="0.25"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0:26" x14ac:dyDescent="0.25"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0:26" x14ac:dyDescent="0.25"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0:26" x14ac:dyDescent="0.25"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0:26" x14ac:dyDescent="0.25"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0:26" x14ac:dyDescent="0.25"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0:26" x14ac:dyDescent="0.25"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0:26" x14ac:dyDescent="0.25"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0:26" x14ac:dyDescent="0.25"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0:26" x14ac:dyDescent="0.25"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0:26" x14ac:dyDescent="0.25"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0:26" x14ac:dyDescent="0.25"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0:26" x14ac:dyDescent="0.25"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0:26" x14ac:dyDescent="0.25"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0:26" x14ac:dyDescent="0.25"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0:26" x14ac:dyDescent="0.25"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0:26" x14ac:dyDescent="0.25"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0:26" x14ac:dyDescent="0.25"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0:26" x14ac:dyDescent="0.25"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0:26" x14ac:dyDescent="0.25"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0:26" x14ac:dyDescent="0.25"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0:26" x14ac:dyDescent="0.25"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0:26" x14ac:dyDescent="0.25"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0:26" x14ac:dyDescent="0.25"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0:26" x14ac:dyDescent="0.25"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0:26" x14ac:dyDescent="0.25"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0:26" x14ac:dyDescent="0.25"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0:26" x14ac:dyDescent="0.25"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0:26" x14ac:dyDescent="0.25"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0:26" x14ac:dyDescent="0.25"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0:26" x14ac:dyDescent="0.25"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0:26" x14ac:dyDescent="0.25"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0:26" x14ac:dyDescent="0.25"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0:26" x14ac:dyDescent="0.25"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0:26" x14ac:dyDescent="0.25"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0:26" x14ac:dyDescent="0.25"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0:26" x14ac:dyDescent="0.25"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0:26" x14ac:dyDescent="0.25"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0:26" x14ac:dyDescent="0.25"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0:26" x14ac:dyDescent="0.25"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0:26" x14ac:dyDescent="0.25"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0:26" x14ac:dyDescent="0.25"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0:26" x14ac:dyDescent="0.25"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0:26" x14ac:dyDescent="0.25"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0:26" x14ac:dyDescent="0.25"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0:26" x14ac:dyDescent="0.25"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0:26" x14ac:dyDescent="0.25"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0:26" x14ac:dyDescent="0.25"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0:26" x14ac:dyDescent="0.25"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0:26" x14ac:dyDescent="0.25"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0:26" x14ac:dyDescent="0.25"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0:26" x14ac:dyDescent="0.25"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0:26" x14ac:dyDescent="0.25"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0:26" x14ac:dyDescent="0.25"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0:26" x14ac:dyDescent="0.25"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0:26" x14ac:dyDescent="0.25"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0:26" x14ac:dyDescent="0.25"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0:26" x14ac:dyDescent="0.25"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0:26" x14ac:dyDescent="0.25"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0:26" x14ac:dyDescent="0.25"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0:26" x14ac:dyDescent="0.25"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0:26" x14ac:dyDescent="0.25"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0:26" x14ac:dyDescent="0.25"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0:26" x14ac:dyDescent="0.25"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0:26" x14ac:dyDescent="0.25"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0:26" x14ac:dyDescent="0.25"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0:26" x14ac:dyDescent="0.25"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0:26" x14ac:dyDescent="0.25"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0:26" x14ac:dyDescent="0.25"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0:26" x14ac:dyDescent="0.25"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0:26" x14ac:dyDescent="0.25"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0:26" x14ac:dyDescent="0.25"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0:26" x14ac:dyDescent="0.25"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0:26" x14ac:dyDescent="0.25"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0:26" x14ac:dyDescent="0.25"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0:26" x14ac:dyDescent="0.25"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0:26" x14ac:dyDescent="0.25"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0:26" x14ac:dyDescent="0.25"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0:26" x14ac:dyDescent="0.25"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0:26" x14ac:dyDescent="0.25"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0:26" x14ac:dyDescent="0.25"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0:26" x14ac:dyDescent="0.25"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0:26" x14ac:dyDescent="0.25"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0:26" x14ac:dyDescent="0.25"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0:26" x14ac:dyDescent="0.25"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0:26" x14ac:dyDescent="0.25"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0:26" x14ac:dyDescent="0.25"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0:26" x14ac:dyDescent="0.25"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0:26" x14ac:dyDescent="0.25"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0:26" x14ac:dyDescent="0.25"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0:26" x14ac:dyDescent="0.25"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0:26" x14ac:dyDescent="0.25"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0:26" x14ac:dyDescent="0.25"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0:26" x14ac:dyDescent="0.25"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0:26" x14ac:dyDescent="0.25"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0:26" x14ac:dyDescent="0.25"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0:26" x14ac:dyDescent="0.25"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0:26" x14ac:dyDescent="0.25"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0:26" x14ac:dyDescent="0.25"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0:26" x14ac:dyDescent="0.25"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0:26" x14ac:dyDescent="0.25"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0:26" x14ac:dyDescent="0.25"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0:26" x14ac:dyDescent="0.25"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0:26" x14ac:dyDescent="0.25"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0:26" x14ac:dyDescent="0.25"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0:26" x14ac:dyDescent="0.25"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0:26" x14ac:dyDescent="0.25"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0:26" x14ac:dyDescent="0.25"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0:26" x14ac:dyDescent="0.25"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0:26" x14ac:dyDescent="0.25"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0:26" x14ac:dyDescent="0.25"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0:26" x14ac:dyDescent="0.25"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0:26" x14ac:dyDescent="0.25"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0:26" x14ac:dyDescent="0.25"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0:26" x14ac:dyDescent="0.25"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0:26" x14ac:dyDescent="0.25"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0:26" x14ac:dyDescent="0.25"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0:26" x14ac:dyDescent="0.25"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0:26" x14ac:dyDescent="0.25"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0:26" x14ac:dyDescent="0.25"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0:26" x14ac:dyDescent="0.25"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0:26" x14ac:dyDescent="0.25"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0:26" x14ac:dyDescent="0.25"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0:26" x14ac:dyDescent="0.25"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0:26" x14ac:dyDescent="0.25"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0:26" x14ac:dyDescent="0.25"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0:26" x14ac:dyDescent="0.25"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0:26" x14ac:dyDescent="0.25"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0:26" x14ac:dyDescent="0.25"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0:26" x14ac:dyDescent="0.25"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0:26" x14ac:dyDescent="0.25"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0:26" x14ac:dyDescent="0.25"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0:26" x14ac:dyDescent="0.25"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0:26" x14ac:dyDescent="0.25"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0:26" x14ac:dyDescent="0.25"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0:26" x14ac:dyDescent="0.25"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0:26" x14ac:dyDescent="0.25"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0:26" x14ac:dyDescent="0.25"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0:26" x14ac:dyDescent="0.25"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0:26" x14ac:dyDescent="0.25"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0:26" x14ac:dyDescent="0.25"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0:26" x14ac:dyDescent="0.25"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0:26" x14ac:dyDescent="0.25"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0:26" x14ac:dyDescent="0.25"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0:26" x14ac:dyDescent="0.25"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0:26" x14ac:dyDescent="0.25"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0:26" x14ac:dyDescent="0.25"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0:26" x14ac:dyDescent="0.25"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0:26" x14ac:dyDescent="0.25"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0:26" x14ac:dyDescent="0.25"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0:26" x14ac:dyDescent="0.25"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0:26" x14ac:dyDescent="0.25"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</sheetData>
  <phoneticPr fontId="6" type="noConversion"/>
  <pageMargins left="0.75" right="0.75" top="1" bottom="1" header="0.5" footer="0.5"/>
  <pageSetup scale="84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81" r:id="rId4" name="Calc_Button">
              <controlPr defaultSize="0" print="0" autoFill="0" autoLine="0" autoPict="0" macro="[0]!bond_compute_handler">
                <anchor moveWithCells="1" sizeWithCells="1">
                  <from>
                    <xdr:col>4</xdr:col>
                    <xdr:colOff>213360</xdr:colOff>
                    <xdr:row>14</xdr:row>
                    <xdr:rowOff>76200</xdr:rowOff>
                  </from>
                  <to>
                    <xdr:col>6</xdr:col>
                    <xdr:colOff>213360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2" r:id="rId5" name="Tree_Display_Button">
              <controlPr defaultSize="0" print="0" autoFill="0" autoLine="0" autoPict="0" macro="[0]!Bond_Display_Tree">
                <anchor moveWithCells="1" sizeWithCells="1">
                  <from>
                    <xdr:col>4</xdr:col>
                    <xdr:colOff>213360</xdr:colOff>
                    <xdr:row>19</xdr:row>
                    <xdr:rowOff>30480</xdr:rowOff>
                  </from>
                  <to>
                    <xdr:col>6</xdr:col>
                    <xdr:colOff>213360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3" r:id="rId6" name="Button 75">
              <controlPr defaultSize="0" print="0" autoFill="0" autoLine="0" autoPict="0" macro="[0]!bond_graph_handler">
                <anchor moveWithCells="1" sizeWithCells="1">
                  <from>
                    <xdr:col>11</xdr:col>
                    <xdr:colOff>533400</xdr:colOff>
                    <xdr:row>10</xdr:row>
                    <xdr:rowOff>38100</xdr:rowOff>
                  </from>
                  <to>
                    <xdr:col>13</xdr:col>
                    <xdr:colOff>350520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4" r:id="rId7" name="Option Button 76">
              <controlPr defaultSize="0" autoFill="0" autoLine="0" autoPict="0">
                <anchor moveWithCells="1">
                  <from>
                    <xdr:col>5</xdr:col>
                    <xdr:colOff>274320</xdr:colOff>
                    <xdr:row>12</xdr:row>
                    <xdr:rowOff>121920</xdr:rowOff>
                  </from>
                  <to>
                    <xdr:col>6</xdr:col>
                    <xdr:colOff>251460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5" r:id="rId8" name="Option Button 77">
              <controlPr defaultSize="0" autoFill="0" autoLine="0" autoPict="0">
                <anchor moveWithCells="1">
                  <from>
                    <xdr:col>4</xdr:col>
                    <xdr:colOff>205740</xdr:colOff>
                    <xdr:row>12</xdr:row>
                    <xdr:rowOff>121920</xdr:rowOff>
                  </from>
                  <to>
                    <xdr:col>5</xdr:col>
                    <xdr:colOff>182880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6" r:id="rId9" name="Check Box 78">
              <controlPr defaultSize="0" autoFill="0" autoLine="0" autoPict="0">
                <anchor moveWithCells="1">
                  <from>
                    <xdr:col>4</xdr:col>
                    <xdr:colOff>213360</xdr:colOff>
                    <xdr:row>10</xdr:row>
                    <xdr:rowOff>144780</xdr:rowOff>
                  </from>
                  <to>
                    <xdr:col>5</xdr:col>
                    <xdr:colOff>487680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7" r:id="rId10" name="Check Box 79">
              <controlPr defaultSize="0" autoFill="0" autoLine="0" autoPict="0">
                <anchor moveWithCells="1">
                  <from>
                    <xdr:col>4</xdr:col>
                    <xdr:colOff>228600</xdr:colOff>
                    <xdr:row>9</xdr:row>
                    <xdr:rowOff>0</xdr:rowOff>
                  </from>
                  <to>
                    <xdr:col>5</xdr:col>
                    <xdr:colOff>502920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9" r:id="rId11" name="Drop Down 81">
              <controlPr defaultSize="0" autoFill="0" autoLine="0" autoPict="0">
                <anchor moveWithCells="1">
                  <from>
                    <xdr:col>11</xdr:col>
                    <xdr:colOff>137160</xdr:colOff>
                    <xdr:row>2</xdr:row>
                    <xdr:rowOff>22860</xdr:rowOff>
                  </from>
                  <to>
                    <xdr:col>13</xdr:col>
                    <xdr:colOff>594360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0" r:id="rId12" name="Drop Down 82">
              <controlPr defaultSize="0" autoFill="0" autoLine="0" autoPict="0" macro="[0]!bond_graph_input_formatter">
                <anchor moveWithCells="1">
                  <from>
                    <xdr:col>11</xdr:col>
                    <xdr:colOff>137160</xdr:colOff>
                    <xdr:row>5</xdr:row>
                    <xdr:rowOff>22860</xdr:rowOff>
                  </from>
                  <to>
                    <xdr:col>13</xdr:col>
                    <xdr:colOff>594360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1" r:id="rId13" name="Drop Down 83">
              <controlPr defaultSize="0" autoFill="0" autoLine="0" autoPict="0" macro="[0]!Bond_Option_Select">
                <anchor moveWithCells="1">
                  <from>
                    <xdr:col>1</xdr:col>
                    <xdr:colOff>30480</xdr:colOff>
                    <xdr:row>9</xdr:row>
                    <xdr:rowOff>7620</xdr:rowOff>
                  </from>
                  <to>
                    <xdr:col>3</xdr:col>
                    <xdr:colOff>594360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2" r:id="rId14" name="Drop Down 84">
              <controlPr defaultSize="0" autoFill="0" autoLine="0" autoPict="0">
                <anchor moveWithCells="1">
                  <from>
                    <xdr:col>4</xdr:col>
                    <xdr:colOff>342900</xdr:colOff>
                    <xdr:row>3</xdr:row>
                    <xdr:rowOff>22860</xdr:rowOff>
                  </from>
                  <to>
                    <xdr:col>6</xdr:col>
                    <xdr:colOff>144780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36"/>
  <sheetViews>
    <sheetView tabSelected="1" topLeftCell="A2" zoomScale="108" zoomScaleNormal="108" workbookViewId="0">
      <selection activeCell="F11" sqref="F11"/>
    </sheetView>
  </sheetViews>
  <sheetFormatPr defaultColWidth="9.109375" defaultRowHeight="13.2" x14ac:dyDescent="0.25"/>
  <cols>
    <col min="1" max="3" width="9.109375" style="5"/>
    <col min="4" max="4" width="10" style="5" customWidth="1"/>
    <col min="5" max="16384" width="9.109375" style="5"/>
  </cols>
  <sheetData>
    <row r="1" spans="1:15" x14ac:dyDescent="0.25">
      <c r="A1" s="61" t="s">
        <v>50</v>
      </c>
      <c r="B1" s="62"/>
      <c r="C1" s="62"/>
      <c r="D1" s="62"/>
      <c r="E1" s="62"/>
      <c r="F1" s="62"/>
      <c r="G1" s="62"/>
      <c r="H1" s="62" t="s">
        <v>34</v>
      </c>
      <c r="I1" s="62"/>
      <c r="J1" s="63"/>
      <c r="K1" s="62" t="s">
        <v>6</v>
      </c>
      <c r="L1" s="62"/>
      <c r="M1" s="62"/>
      <c r="N1" s="62"/>
      <c r="O1" s="64"/>
    </row>
    <row r="2" spans="1:15" x14ac:dyDescent="0.25">
      <c r="A2" s="65"/>
      <c r="B2" s="66" t="s">
        <v>7</v>
      </c>
      <c r="C2" s="12"/>
      <c r="D2" s="8"/>
      <c r="E2" s="8"/>
      <c r="F2" s="8"/>
      <c r="G2" s="8"/>
      <c r="H2" s="67" t="s">
        <v>35</v>
      </c>
      <c r="I2" s="8" t="s">
        <v>36</v>
      </c>
      <c r="J2" s="68"/>
      <c r="K2" s="28"/>
      <c r="L2" s="28" t="s">
        <v>8</v>
      </c>
      <c r="M2" s="28"/>
      <c r="N2" s="28"/>
      <c r="O2" s="68"/>
    </row>
    <row r="3" spans="1:15" x14ac:dyDescent="0.25">
      <c r="A3" s="69"/>
      <c r="B3" s="28"/>
      <c r="C3" s="12"/>
      <c r="D3" s="12"/>
      <c r="E3" s="28"/>
      <c r="F3" s="12"/>
      <c r="G3" s="28"/>
      <c r="H3" s="13">
        <v>1</v>
      </c>
      <c r="I3" s="50">
        <v>0.06</v>
      </c>
      <c r="J3" s="68"/>
      <c r="K3" s="28"/>
      <c r="L3" s="28"/>
      <c r="M3" s="28"/>
      <c r="N3" s="28"/>
      <c r="O3" s="68"/>
    </row>
    <row r="4" spans="1:15" x14ac:dyDescent="0.25">
      <c r="A4" s="69"/>
      <c r="B4" s="28"/>
      <c r="C4" s="12"/>
      <c r="D4" s="12"/>
      <c r="E4" s="28"/>
      <c r="F4" s="67" t="s">
        <v>51</v>
      </c>
      <c r="G4" s="28"/>
      <c r="H4" s="13">
        <v>2</v>
      </c>
      <c r="I4" s="50">
        <v>0.06</v>
      </c>
      <c r="J4" s="68"/>
      <c r="K4" s="28"/>
      <c r="L4" s="28"/>
      <c r="M4" s="28"/>
      <c r="N4" s="28"/>
      <c r="O4" s="68"/>
    </row>
    <row r="5" spans="1:15" x14ac:dyDescent="0.25">
      <c r="A5" s="69"/>
      <c r="B5" s="28"/>
      <c r="C5" s="70" t="s">
        <v>52</v>
      </c>
      <c r="D5" s="71">
        <v>100</v>
      </c>
      <c r="E5" s="28"/>
      <c r="F5" s="28"/>
      <c r="G5" s="28"/>
      <c r="H5" s="13">
        <v>3</v>
      </c>
      <c r="I5" s="50">
        <v>0.06</v>
      </c>
      <c r="J5" s="68"/>
      <c r="K5" s="28"/>
      <c r="L5" s="72" t="s">
        <v>9</v>
      </c>
      <c r="M5" s="28"/>
      <c r="N5" s="28"/>
      <c r="O5" s="68"/>
    </row>
    <row r="6" spans="1:15" x14ac:dyDescent="0.25">
      <c r="A6" s="69"/>
      <c r="B6" s="28"/>
      <c r="C6" s="70" t="s">
        <v>142</v>
      </c>
      <c r="D6" s="18">
        <v>5</v>
      </c>
      <c r="E6" s="28"/>
      <c r="F6" s="12"/>
      <c r="G6" s="28"/>
      <c r="H6" s="13">
        <v>4</v>
      </c>
      <c r="I6" s="50">
        <v>0.06</v>
      </c>
      <c r="J6" s="68"/>
      <c r="K6" s="28"/>
      <c r="L6" s="28"/>
      <c r="M6" s="28"/>
      <c r="N6" s="28"/>
      <c r="O6" s="68"/>
    </row>
    <row r="7" spans="1:15" x14ac:dyDescent="0.25">
      <c r="A7" s="69"/>
      <c r="B7" s="28"/>
      <c r="C7" s="70" t="s">
        <v>143</v>
      </c>
      <c r="D7" s="18">
        <v>8</v>
      </c>
      <c r="E7" s="28"/>
      <c r="F7" s="12"/>
      <c r="G7" s="28"/>
      <c r="H7" s="13">
        <v>5</v>
      </c>
      <c r="I7" s="50">
        <v>0.06</v>
      </c>
      <c r="J7" s="68"/>
      <c r="K7" s="28"/>
      <c r="L7" s="28"/>
      <c r="M7" s="28"/>
      <c r="N7" s="28"/>
      <c r="O7" s="68"/>
    </row>
    <row r="8" spans="1:15" x14ac:dyDescent="0.25">
      <c r="A8" s="65"/>
      <c r="B8" s="8"/>
      <c r="C8" s="70" t="s">
        <v>144</v>
      </c>
      <c r="D8" s="19">
        <v>6.2E-2</v>
      </c>
      <c r="E8" s="8"/>
      <c r="F8" s="8"/>
      <c r="G8" s="8"/>
      <c r="H8" s="13"/>
      <c r="I8" s="50"/>
      <c r="J8" s="68"/>
      <c r="K8" s="28"/>
      <c r="L8" s="28"/>
      <c r="M8" s="73" t="s">
        <v>13</v>
      </c>
      <c r="N8" s="18">
        <v>0.91</v>
      </c>
      <c r="O8" s="68"/>
    </row>
    <row r="9" spans="1:15" x14ac:dyDescent="0.25">
      <c r="A9" s="69"/>
      <c r="B9" s="12"/>
      <c r="C9" s="28"/>
      <c r="D9" s="28"/>
      <c r="E9" s="28"/>
      <c r="F9" s="28"/>
      <c r="G9" s="28"/>
      <c r="H9" s="13"/>
      <c r="I9" s="50"/>
      <c r="J9" s="68"/>
      <c r="K9" s="28"/>
      <c r="L9" s="28"/>
      <c r="M9" s="73" t="s">
        <v>14</v>
      </c>
      <c r="N9" s="18">
        <v>5</v>
      </c>
      <c r="O9" s="68"/>
    </row>
    <row r="10" spans="1:15" x14ac:dyDescent="0.25">
      <c r="A10" s="69"/>
      <c r="B10" s="72" t="s">
        <v>42</v>
      </c>
      <c r="C10" s="28"/>
      <c r="D10" s="28"/>
      <c r="E10" s="28"/>
      <c r="F10" s="28"/>
      <c r="G10" s="28"/>
      <c r="H10" s="13"/>
      <c r="I10" s="50"/>
      <c r="J10" s="68"/>
      <c r="K10" s="28"/>
      <c r="L10" s="28"/>
      <c r="M10" s="28"/>
      <c r="N10" s="28"/>
      <c r="O10" s="68"/>
    </row>
    <row r="11" spans="1:15" x14ac:dyDescent="0.25">
      <c r="A11" s="69"/>
      <c r="B11" s="28"/>
      <c r="C11" s="28"/>
      <c r="D11" s="28"/>
      <c r="E11" s="28"/>
      <c r="F11" s="28"/>
      <c r="G11" s="28"/>
      <c r="H11" s="13"/>
      <c r="I11" s="50"/>
      <c r="J11" s="68"/>
      <c r="K11" s="28"/>
      <c r="L11" s="28"/>
      <c r="M11" s="28"/>
      <c r="N11" s="28"/>
      <c r="O11" s="68"/>
    </row>
    <row r="12" spans="1:15" x14ac:dyDescent="0.25">
      <c r="A12" s="69"/>
      <c r="B12" s="28"/>
      <c r="C12" s="12"/>
      <c r="D12" s="12"/>
      <c r="E12" s="28"/>
      <c r="F12" s="28"/>
      <c r="G12" s="28"/>
      <c r="H12" s="13"/>
      <c r="I12" s="50"/>
      <c r="J12" s="68"/>
      <c r="K12" s="28"/>
      <c r="L12" s="28"/>
      <c r="M12" s="28"/>
      <c r="N12" s="28"/>
      <c r="O12" s="68"/>
    </row>
    <row r="13" spans="1:15" x14ac:dyDescent="0.25">
      <c r="A13" s="69"/>
      <c r="B13" s="12"/>
      <c r="C13" s="70" t="s">
        <v>138</v>
      </c>
      <c r="D13" s="19">
        <v>0.2</v>
      </c>
      <c r="E13" s="28"/>
      <c r="F13" s="28"/>
      <c r="G13" s="28"/>
      <c r="H13" s="13"/>
      <c r="I13" s="50"/>
      <c r="J13" s="68"/>
      <c r="K13" s="74"/>
      <c r="L13" s="74"/>
      <c r="M13" s="74"/>
      <c r="N13" s="74"/>
      <c r="O13" s="75"/>
    </row>
    <row r="14" spans="1:15" x14ac:dyDescent="0.25">
      <c r="A14" s="69"/>
      <c r="B14" s="12"/>
      <c r="C14" s="76"/>
      <c r="D14" s="22"/>
      <c r="E14" s="28"/>
      <c r="F14" s="28"/>
      <c r="G14" s="28"/>
      <c r="H14" s="13"/>
      <c r="I14" s="50"/>
      <c r="J14" s="68"/>
      <c r="K14" s="77"/>
      <c r="L14" s="77"/>
      <c r="M14" s="77"/>
      <c r="N14" s="78"/>
      <c r="O14" s="78"/>
    </row>
    <row r="15" spans="1:15" x14ac:dyDescent="0.25">
      <c r="A15" s="69"/>
      <c r="B15" s="28"/>
      <c r="C15" s="76"/>
      <c r="D15" s="22"/>
      <c r="E15" s="28"/>
      <c r="F15" s="28"/>
      <c r="G15" s="28"/>
      <c r="H15" s="13"/>
      <c r="I15" s="50"/>
      <c r="J15" s="68"/>
      <c r="K15" s="77"/>
      <c r="L15" s="77"/>
      <c r="M15" s="77"/>
      <c r="N15" s="78"/>
      <c r="O15" s="78"/>
    </row>
    <row r="16" spans="1:15" x14ac:dyDescent="0.25">
      <c r="A16" s="69"/>
      <c r="B16" s="28"/>
      <c r="C16" s="70"/>
      <c r="D16" s="22"/>
      <c r="E16" s="28"/>
      <c r="F16" s="28"/>
      <c r="G16" s="28"/>
      <c r="H16" s="13"/>
      <c r="I16" s="50"/>
      <c r="J16" s="68"/>
      <c r="K16" s="77"/>
      <c r="L16" s="77"/>
      <c r="M16" s="77"/>
      <c r="N16" s="77"/>
      <c r="O16" s="77"/>
    </row>
    <row r="17" spans="1:15" x14ac:dyDescent="0.25">
      <c r="A17" s="69"/>
      <c r="B17" s="28"/>
      <c r="C17" s="70"/>
      <c r="D17" s="70"/>
      <c r="E17" s="28"/>
      <c r="F17" s="28"/>
      <c r="G17" s="28"/>
      <c r="H17" s="13"/>
      <c r="I17" s="50"/>
      <c r="J17" s="68"/>
      <c r="K17" s="77"/>
      <c r="L17" s="77"/>
      <c r="M17" s="77"/>
      <c r="N17" s="77"/>
      <c r="O17" s="77"/>
    </row>
    <row r="18" spans="1:15" ht="13.8" thickBot="1" x14ac:dyDescent="0.3">
      <c r="A18" s="79"/>
      <c r="B18" s="80"/>
      <c r="C18" s="80"/>
      <c r="D18" s="80"/>
      <c r="E18" s="80"/>
      <c r="F18" s="80"/>
      <c r="G18" s="80"/>
      <c r="H18" s="80"/>
      <c r="I18" s="80"/>
      <c r="J18" s="81"/>
      <c r="K18" s="77"/>
      <c r="L18" s="77"/>
      <c r="M18" s="77"/>
      <c r="N18" s="77"/>
      <c r="O18" s="77"/>
    </row>
    <row r="19" spans="1:15" ht="13.8" thickTop="1" x14ac:dyDescent="0.25">
      <c r="A19" s="69"/>
      <c r="B19" s="28"/>
      <c r="C19" s="28"/>
      <c r="D19" s="28"/>
      <c r="E19" s="28"/>
      <c r="F19" s="28"/>
      <c r="G19" s="68"/>
    </row>
    <row r="20" spans="1:15" x14ac:dyDescent="0.25">
      <c r="A20" s="69"/>
      <c r="B20" s="28"/>
      <c r="C20" s="70" t="s">
        <v>21</v>
      </c>
      <c r="D20" s="21">
        <v>2.2820238421662444</v>
      </c>
      <c r="E20" s="28"/>
      <c r="F20" s="28"/>
      <c r="G20" s="68"/>
    </row>
    <row r="21" spans="1:15" x14ac:dyDescent="0.25">
      <c r="A21" s="69"/>
      <c r="B21" s="28"/>
      <c r="C21" s="73" t="s">
        <v>48</v>
      </c>
      <c r="D21" s="21">
        <v>1.0482522849320386E-2</v>
      </c>
      <c r="E21" s="28"/>
      <c r="F21" s="28"/>
      <c r="G21" s="68"/>
    </row>
    <row r="22" spans="1:15" x14ac:dyDescent="0.25">
      <c r="A22" s="69"/>
      <c r="B22" s="28"/>
      <c r="C22" s="73" t="s">
        <v>49</v>
      </c>
      <c r="D22" s="21">
        <v>1.3357968239091633E-3</v>
      </c>
      <c r="E22" s="28"/>
      <c r="F22" s="28"/>
      <c r="G22" s="68"/>
    </row>
    <row r="23" spans="1:15" x14ac:dyDescent="0.25">
      <c r="A23" s="69"/>
      <c r="B23" s="28"/>
      <c r="C23" s="73" t="s">
        <v>24</v>
      </c>
      <c r="D23" s="21">
        <v>0.11398122304724279</v>
      </c>
      <c r="E23" s="28"/>
      <c r="F23" s="28"/>
      <c r="G23" s="68"/>
    </row>
    <row r="24" spans="1:15" x14ac:dyDescent="0.25">
      <c r="A24" s="82"/>
      <c r="B24" s="74"/>
      <c r="C24" s="74"/>
      <c r="D24" s="74"/>
      <c r="E24" s="74"/>
      <c r="F24" s="74"/>
      <c r="G24" s="75"/>
    </row>
    <row r="27" spans="1:15" x14ac:dyDescent="0.25">
      <c r="D27"/>
    </row>
    <row r="28" spans="1:15" x14ac:dyDescent="0.25">
      <c r="D28"/>
    </row>
    <row r="29" spans="1:15" x14ac:dyDescent="0.25">
      <c r="D29"/>
    </row>
    <row r="30" spans="1:15" x14ac:dyDescent="0.25">
      <c r="D30"/>
    </row>
    <row r="31" spans="1:15" x14ac:dyDescent="0.25">
      <c r="B31" s="102"/>
    </row>
    <row r="32" spans="1:15" x14ac:dyDescent="0.25">
      <c r="B32" s="102"/>
    </row>
    <row r="33" spans="2:2" x14ac:dyDescent="0.25">
      <c r="B33" s="102"/>
    </row>
    <row r="35" spans="2:2" x14ac:dyDescent="0.25">
      <c r="B35" s="102"/>
    </row>
    <row r="36" spans="2:2" x14ac:dyDescent="0.25">
      <c r="B36" s="102"/>
    </row>
  </sheetData>
  <phoneticPr fontId="6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Drop Down 1">
              <controlPr defaultSize="0" autoFill="0" autoLine="0" autoPict="0" macro="[0]!Cap_or_Swap_Select">
                <anchor moveWithCells="1">
                  <from>
                    <xdr:col>1</xdr:col>
                    <xdr:colOff>38100</xdr:colOff>
                    <xdr:row>2</xdr:row>
                    <xdr:rowOff>30480</xdr:rowOff>
                  </from>
                  <to>
                    <xdr:col>3</xdr:col>
                    <xdr:colOff>640080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Drop Down 2">
              <controlPr defaultSize="0" autoFill="0" autoLine="0" autoPict="0" macro="[0]!Cap_or_Swap_Option_Select">
                <anchor moveWithCells="1">
                  <from>
                    <xdr:col>1</xdr:col>
                    <xdr:colOff>22860</xdr:colOff>
                    <xdr:row>9</xdr:row>
                    <xdr:rowOff>167640</xdr:rowOff>
                  </from>
                  <to>
                    <xdr:col>3</xdr:col>
                    <xdr:colOff>617220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Check Box 3">
              <controlPr defaultSize="0" autoFill="0" autoLine="0" autoPict="0">
                <anchor moveWithCells="1">
                  <from>
                    <xdr:col>4</xdr:col>
                    <xdr:colOff>266700</xdr:colOff>
                    <xdr:row>11</xdr:row>
                    <xdr:rowOff>144780</xdr:rowOff>
                  </from>
                  <to>
                    <xdr:col>6</xdr:col>
                    <xdr:colOff>320040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Check Box 4">
              <controlPr defaultSize="0" autoFill="0" autoLine="0" autoPict="0">
                <anchor moveWithCells="1">
                  <from>
                    <xdr:col>4</xdr:col>
                    <xdr:colOff>266700</xdr:colOff>
                    <xdr:row>6</xdr:row>
                    <xdr:rowOff>144780</xdr:rowOff>
                  </from>
                  <to>
                    <xdr:col>6</xdr:col>
                    <xdr:colOff>403860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Swap_Call">
              <controlPr defaultSize="0" autoFill="0" autoLine="0" autoPict="0">
                <anchor moveWithCells="1">
                  <from>
                    <xdr:col>4</xdr:col>
                    <xdr:colOff>441960</xdr:colOff>
                    <xdr:row>15</xdr:row>
                    <xdr:rowOff>68580</xdr:rowOff>
                  </from>
                  <to>
                    <xdr:col>6</xdr:col>
                    <xdr:colOff>266700</xdr:colOff>
                    <xdr:row>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Swap_Put">
              <controlPr defaultSize="0" autoFill="0" autoLine="0" autoPict="0">
                <anchor moveWithCells="1">
                  <from>
                    <xdr:col>4</xdr:col>
                    <xdr:colOff>441960</xdr:colOff>
                    <xdr:row>13</xdr:row>
                    <xdr:rowOff>106680</xdr:rowOff>
                  </from>
                  <to>
                    <xdr:col>6</xdr:col>
                    <xdr:colOff>220980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Calc_Button">
              <controlPr defaultSize="0" print="0" autoFill="0" autoLine="0" autoPict="0" macro="[0]!swap_compute_handler">
                <anchor moveWithCells="1" sizeWithCells="1">
                  <from>
                    <xdr:col>4</xdr:col>
                    <xdr:colOff>289560</xdr:colOff>
                    <xdr:row>20</xdr:row>
                    <xdr:rowOff>22860</xdr:rowOff>
                  </from>
                  <to>
                    <xdr:col>6</xdr:col>
                    <xdr:colOff>281940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1" name="Drop Down 14">
              <controlPr defaultSize="0" autoFill="0" autoLine="0" autoPict="0">
                <anchor moveWithCells="1">
                  <from>
                    <xdr:col>11</xdr:col>
                    <xdr:colOff>137160</xdr:colOff>
                    <xdr:row>2</xdr:row>
                    <xdr:rowOff>22860</xdr:rowOff>
                  </from>
                  <to>
                    <xdr:col>13</xdr:col>
                    <xdr:colOff>617220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2" name="Drop Down 15">
              <controlPr defaultSize="0" autoFill="0" autoLine="0" autoPict="0" macro="[0]!swap_graph_input_formatter">
                <anchor moveWithCells="1">
                  <from>
                    <xdr:col>11</xdr:col>
                    <xdr:colOff>137160</xdr:colOff>
                    <xdr:row>5</xdr:row>
                    <xdr:rowOff>22860</xdr:rowOff>
                  </from>
                  <to>
                    <xdr:col>13</xdr:col>
                    <xdr:colOff>617220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3" name="Button 16">
              <controlPr defaultSize="0" print="0" autoFill="0" autoLine="0" autoPict="0" macro="[0]!swap_graph_handler">
                <anchor moveWithCells="1" sizeWithCells="1">
                  <from>
                    <xdr:col>11</xdr:col>
                    <xdr:colOff>601980</xdr:colOff>
                    <xdr:row>10</xdr:row>
                    <xdr:rowOff>30480</xdr:rowOff>
                  </from>
                  <to>
                    <xdr:col>13</xdr:col>
                    <xdr:colOff>426720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4" name="Drop Down 17">
              <controlPr defaultSize="0" autoFill="0" autoLine="0" autoPict="0">
                <anchor moveWithCells="1">
                  <from>
                    <xdr:col>4</xdr:col>
                    <xdr:colOff>350520</xdr:colOff>
                    <xdr:row>4</xdr:row>
                    <xdr:rowOff>22860</xdr:rowOff>
                  </from>
                  <to>
                    <xdr:col>6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6"/>
  <sheetViews>
    <sheetView zoomScale="108" zoomScaleNormal="108" workbookViewId="0">
      <selection activeCell="C11" sqref="C11"/>
    </sheetView>
  </sheetViews>
  <sheetFormatPr defaultColWidth="9.109375" defaultRowHeight="13.2" x14ac:dyDescent="0.25"/>
  <cols>
    <col min="1" max="1" width="2.6640625" style="108" customWidth="1"/>
    <col min="2" max="2" width="9.109375" style="108"/>
    <col min="3" max="3" width="11" style="108" bestFit="1" customWidth="1"/>
    <col min="4" max="4" width="2.6640625" style="108" customWidth="1"/>
    <col min="5" max="5" width="10" style="108" customWidth="1"/>
    <col min="6" max="6" width="11.33203125" style="108" bestFit="1" customWidth="1"/>
    <col min="7" max="7" width="2.6640625" style="108" customWidth="1"/>
    <col min="8" max="9" width="9.109375" style="108"/>
    <col min="10" max="10" width="2.6640625" style="108" customWidth="1"/>
    <col min="11" max="12" width="9.109375" style="108"/>
    <col min="13" max="13" width="21.6640625" style="108" bestFit="1" customWidth="1"/>
    <col min="14" max="16384" width="9.109375" style="108"/>
  </cols>
  <sheetData>
    <row r="1" spans="1:15" x14ac:dyDescent="0.25">
      <c r="A1" s="104"/>
      <c r="B1" s="162" t="s">
        <v>154</v>
      </c>
      <c r="C1" s="162"/>
      <c r="D1" s="105"/>
      <c r="E1" s="162" t="s">
        <v>157</v>
      </c>
      <c r="F1" s="162"/>
      <c r="G1" s="105"/>
      <c r="H1" s="162" t="s">
        <v>34</v>
      </c>
      <c r="I1" s="162"/>
      <c r="J1" s="106"/>
      <c r="K1" s="107"/>
      <c r="L1" s="107"/>
      <c r="M1" s="107"/>
      <c r="N1" s="107"/>
      <c r="O1" s="107"/>
    </row>
    <row r="2" spans="1:15" x14ac:dyDescent="0.25">
      <c r="A2" s="109"/>
      <c r="B2" s="110" t="s">
        <v>158</v>
      </c>
      <c r="C2" s="110" t="s">
        <v>159</v>
      </c>
      <c r="D2" s="110"/>
      <c r="E2" s="111" t="s">
        <v>35</v>
      </c>
      <c r="F2" s="110" t="s">
        <v>160</v>
      </c>
      <c r="G2" s="110"/>
      <c r="H2" s="111" t="s">
        <v>35</v>
      </c>
      <c r="I2" s="110" t="s">
        <v>36</v>
      </c>
      <c r="J2" s="112"/>
      <c r="K2" s="107"/>
      <c r="L2" s="107"/>
      <c r="M2" s="107"/>
      <c r="N2" s="107"/>
      <c r="O2" s="107"/>
    </row>
    <row r="3" spans="1:15" x14ac:dyDescent="0.25">
      <c r="A3" s="109"/>
      <c r="B3" s="113">
        <v>1</v>
      </c>
      <c r="C3" s="129">
        <v>100</v>
      </c>
      <c r="D3" s="110"/>
      <c r="E3" s="113">
        <v>1</v>
      </c>
      <c r="F3" s="114">
        <v>1.6604437030390714E-2</v>
      </c>
      <c r="G3" s="115"/>
      <c r="H3" s="113">
        <v>1</v>
      </c>
      <c r="I3" s="116">
        <v>0.03</v>
      </c>
      <c r="J3" s="112"/>
      <c r="K3" s="107"/>
      <c r="L3" s="107"/>
      <c r="M3"/>
      <c r="N3"/>
      <c r="O3" s="107"/>
    </row>
    <row r="4" spans="1:15" x14ac:dyDescent="0.25">
      <c r="A4" s="109"/>
      <c r="B4" s="113">
        <v>5</v>
      </c>
      <c r="C4" s="129">
        <v>150</v>
      </c>
      <c r="D4" s="110"/>
      <c r="E4" s="113">
        <v>5</v>
      </c>
      <c r="F4" s="114">
        <v>2.7284234377533773E-2</v>
      </c>
      <c r="G4" s="115"/>
      <c r="H4" s="113">
        <v>2</v>
      </c>
      <c r="I4" s="116">
        <v>0.03</v>
      </c>
      <c r="J4" s="112"/>
      <c r="K4" s="107"/>
      <c r="L4" s="107"/>
      <c r="M4"/>
      <c r="N4"/>
      <c r="O4" s="107"/>
    </row>
    <row r="5" spans="1:15" x14ac:dyDescent="0.25">
      <c r="A5" s="109"/>
      <c r="B5" s="113">
        <v>10</v>
      </c>
      <c r="C5" s="129">
        <v>175</v>
      </c>
      <c r="D5" s="110"/>
      <c r="E5" s="113">
        <v>10</v>
      </c>
      <c r="F5" s="114">
        <v>3.4677114038678764E-2</v>
      </c>
      <c r="G5" s="115"/>
      <c r="H5" s="113">
        <v>3</v>
      </c>
      <c r="I5" s="116">
        <v>0.03</v>
      </c>
      <c r="J5" s="112"/>
      <c r="K5" s="107"/>
      <c r="L5" s="107"/>
      <c r="M5"/>
      <c r="N5"/>
      <c r="O5" s="107"/>
    </row>
    <row r="6" spans="1:15" x14ac:dyDescent="0.25">
      <c r="A6" s="109"/>
      <c r="B6" s="113">
        <v>25</v>
      </c>
      <c r="C6" s="129">
        <v>200</v>
      </c>
      <c r="D6" s="110"/>
      <c r="E6" s="113">
        <v>25</v>
      </c>
      <c r="F6" s="114">
        <v>3.9396702351745229E-2</v>
      </c>
      <c r="G6" s="115"/>
      <c r="H6" s="113">
        <v>4</v>
      </c>
      <c r="I6" s="116">
        <v>0.03</v>
      </c>
      <c r="J6" s="112"/>
      <c r="K6" s="107"/>
      <c r="L6" s="107"/>
      <c r="M6"/>
      <c r="N6"/>
      <c r="O6" s="107"/>
    </row>
    <row r="7" spans="1:15" x14ac:dyDescent="0.25">
      <c r="A7" s="109"/>
      <c r="B7" s="113"/>
      <c r="C7" s="129"/>
      <c r="D7" s="110"/>
      <c r="E7" s="113"/>
      <c r="F7" s="114"/>
      <c r="G7" s="115"/>
      <c r="H7" s="113">
        <v>5</v>
      </c>
      <c r="I7" s="116">
        <v>0.03</v>
      </c>
      <c r="J7" s="112"/>
      <c r="K7" s="107"/>
      <c r="M7"/>
      <c r="N7"/>
      <c r="O7" s="107"/>
    </row>
    <row r="8" spans="1:15" x14ac:dyDescent="0.25">
      <c r="A8" s="109"/>
      <c r="B8" s="113"/>
      <c r="C8" s="129"/>
      <c r="D8" s="110"/>
      <c r="E8" s="113"/>
      <c r="F8" s="114"/>
      <c r="G8" s="110"/>
      <c r="H8" s="113"/>
      <c r="I8" s="116"/>
      <c r="J8" s="112"/>
      <c r="K8" s="107"/>
      <c r="L8" s="107"/>
      <c r="M8"/>
      <c r="N8"/>
      <c r="O8" s="107"/>
    </row>
    <row r="9" spans="1:15" x14ac:dyDescent="0.25">
      <c r="A9" s="109"/>
      <c r="B9" s="113"/>
      <c r="C9" s="129"/>
      <c r="D9" s="110"/>
      <c r="E9" s="113"/>
      <c r="F9" s="114"/>
      <c r="G9" s="115"/>
      <c r="H9" s="113"/>
      <c r="I9" s="116"/>
      <c r="J9" s="112"/>
      <c r="K9" s="107"/>
      <c r="L9" s="107"/>
      <c r="M9"/>
      <c r="N9"/>
      <c r="O9" s="107"/>
    </row>
    <row r="10" spans="1:15" x14ac:dyDescent="0.25">
      <c r="A10" s="109"/>
      <c r="B10" s="113"/>
      <c r="C10" s="129"/>
      <c r="D10" s="110"/>
      <c r="E10" s="113"/>
      <c r="F10" s="114"/>
      <c r="G10" s="115"/>
      <c r="H10" s="113"/>
      <c r="I10" s="116"/>
      <c r="J10" s="112"/>
      <c r="K10" s="107"/>
      <c r="L10" s="107"/>
      <c r="M10" s="107"/>
      <c r="N10" s="107"/>
      <c r="O10" s="107"/>
    </row>
    <row r="11" spans="1:15" x14ac:dyDescent="0.25">
      <c r="A11" s="109"/>
      <c r="B11" s="113"/>
      <c r="C11" s="129"/>
      <c r="D11" s="110"/>
      <c r="E11" s="113"/>
      <c r="F11" s="114"/>
      <c r="G11" s="115"/>
      <c r="H11" s="113"/>
      <c r="I11" s="116"/>
      <c r="J11" s="112"/>
      <c r="K11" s="107"/>
      <c r="L11" s="107"/>
      <c r="M11" s="107"/>
      <c r="N11" s="107"/>
      <c r="O11" s="107"/>
    </row>
    <row r="12" spans="1:15" x14ac:dyDescent="0.25">
      <c r="A12" s="109"/>
      <c r="B12" s="113"/>
      <c r="C12" s="129"/>
      <c r="D12" s="110"/>
      <c r="E12" s="113"/>
      <c r="F12" s="114"/>
      <c r="G12" s="115"/>
      <c r="H12" s="113"/>
      <c r="I12" s="116"/>
      <c r="J12" s="112"/>
      <c r="K12" s="107"/>
      <c r="L12" s="107"/>
      <c r="M12" s="107"/>
      <c r="N12" s="107"/>
      <c r="O12" s="107"/>
    </row>
    <row r="13" spans="1:15" x14ac:dyDescent="0.25">
      <c r="A13" s="109"/>
      <c r="B13" s="113"/>
      <c r="C13" s="129"/>
      <c r="D13" s="110"/>
      <c r="E13" s="113"/>
      <c r="F13" s="114"/>
      <c r="G13" s="115"/>
      <c r="H13" s="113"/>
      <c r="I13" s="116"/>
      <c r="J13" s="112"/>
      <c r="K13" s="107"/>
      <c r="L13" s="107"/>
      <c r="M13" s="107"/>
      <c r="N13" s="107"/>
      <c r="O13" s="107"/>
    </row>
    <row r="14" spans="1:15" x14ac:dyDescent="0.25">
      <c r="A14" s="109"/>
      <c r="B14" s="113"/>
      <c r="C14" s="129"/>
      <c r="D14" s="110"/>
      <c r="E14" s="113"/>
      <c r="F14" s="114"/>
      <c r="G14" s="115"/>
      <c r="H14" s="113"/>
      <c r="I14" s="116"/>
      <c r="J14" s="112"/>
      <c r="K14" s="117"/>
      <c r="L14" s="117"/>
      <c r="M14" s="117"/>
      <c r="N14" s="118"/>
      <c r="O14" s="118"/>
    </row>
    <row r="15" spans="1:15" x14ac:dyDescent="0.25">
      <c r="A15" s="109"/>
      <c r="B15" s="113"/>
      <c r="C15" s="129"/>
      <c r="D15" s="119"/>
      <c r="E15" s="113"/>
      <c r="F15" s="114"/>
      <c r="G15" s="115"/>
      <c r="H15" s="113"/>
      <c r="I15" s="116"/>
      <c r="J15" s="112"/>
      <c r="K15" s="117"/>
      <c r="L15" s="117"/>
      <c r="M15" s="117"/>
      <c r="N15" s="118"/>
      <c r="O15" s="118"/>
    </row>
    <row r="16" spans="1:15" x14ac:dyDescent="0.25">
      <c r="A16" s="109"/>
      <c r="B16" s="113"/>
      <c r="C16" s="129"/>
      <c r="D16" s="119"/>
      <c r="E16" s="113"/>
      <c r="F16" s="114"/>
      <c r="G16" s="115"/>
      <c r="H16" s="113"/>
      <c r="I16" s="116"/>
      <c r="J16" s="112"/>
      <c r="K16" s="117"/>
      <c r="L16" s="117"/>
      <c r="M16" s="117"/>
      <c r="N16" s="117"/>
      <c r="O16" s="117"/>
    </row>
    <row r="17" spans="1:15" x14ac:dyDescent="0.25">
      <c r="A17" s="109"/>
      <c r="B17" s="113"/>
      <c r="C17" s="129"/>
      <c r="D17" s="119"/>
      <c r="E17" s="113"/>
      <c r="F17" s="114"/>
      <c r="G17" s="115"/>
      <c r="H17" s="113"/>
      <c r="I17" s="116"/>
      <c r="J17" s="112"/>
      <c r="K17" s="117"/>
      <c r="L17" s="117"/>
      <c r="M17" s="117"/>
      <c r="N17" s="117"/>
      <c r="O17" s="117"/>
    </row>
    <row r="18" spans="1:15" x14ac:dyDescent="0.25">
      <c r="A18" s="109"/>
      <c r="B18" s="115"/>
      <c r="C18" s="115"/>
      <c r="D18" s="115"/>
      <c r="E18" s="115"/>
      <c r="F18" s="115"/>
      <c r="G18" s="115"/>
      <c r="H18" s="115"/>
      <c r="I18" s="115"/>
      <c r="J18" s="112"/>
      <c r="K18" s="117"/>
      <c r="L18" s="117"/>
      <c r="M18" s="117"/>
      <c r="N18" s="117"/>
      <c r="O18" s="117"/>
    </row>
    <row r="19" spans="1:15" x14ac:dyDescent="0.25">
      <c r="A19" s="109"/>
      <c r="B19" s="115"/>
      <c r="C19" s="110"/>
      <c r="D19" s="115"/>
      <c r="E19" s="115"/>
      <c r="F19" s="115"/>
      <c r="G19" s="115"/>
      <c r="H19" s="115"/>
      <c r="I19" s="115"/>
      <c r="J19" s="112"/>
    </row>
    <row r="20" spans="1:15" x14ac:dyDescent="0.25">
      <c r="A20" s="109"/>
      <c r="B20" s="115"/>
      <c r="C20" s="110"/>
      <c r="D20" s="119" t="s">
        <v>161</v>
      </c>
      <c r="E20" s="114">
        <v>0.4</v>
      </c>
      <c r="F20" s="115"/>
      <c r="G20" s="115"/>
      <c r="H20" s="115"/>
      <c r="I20" s="115"/>
      <c r="J20" s="112"/>
    </row>
    <row r="21" spans="1:15" x14ac:dyDescent="0.25">
      <c r="A21" s="109"/>
      <c r="B21" s="115"/>
      <c r="C21" s="115"/>
      <c r="D21" s="115"/>
      <c r="E21" s="115"/>
      <c r="F21" s="115"/>
      <c r="G21" s="115"/>
      <c r="H21" s="115"/>
      <c r="I21" s="115"/>
      <c r="J21" s="112"/>
    </row>
    <row r="22" spans="1:15" x14ac:dyDescent="0.25">
      <c r="A22" s="109"/>
      <c r="B22" s="115"/>
      <c r="C22" s="120"/>
      <c r="D22" s="121" t="s">
        <v>162</v>
      </c>
      <c r="E22" s="115"/>
      <c r="F22" s="115"/>
      <c r="G22" s="115"/>
      <c r="H22" s="115"/>
      <c r="I22" s="115"/>
      <c r="J22" s="112"/>
    </row>
    <row r="23" spans="1:15" x14ac:dyDescent="0.25">
      <c r="A23" s="109"/>
      <c r="B23" s="115"/>
      <c r="C23" s="115"/>
      <c r="D23" s="115"/>
      <c r="E23" s="115"/>
      <c r="F23" s="115"/>
      <c r="G23" s="115"/>
      <c r="H23" s="115"/>
      <c r="I23" s="115"/>
      <c r="J23" s="112"/>
    </row>
    <row r="24" spans="1:15" x14ac:dyDescent="0.25">
      <c r="A24" s="122"/>
      <c r="B24" s="123"/>
      <c r="C24" s="123"/>
      <c r="D24" s="123"/>
      <c r="E24" s="123"/>
      <c r="F24" s="123"/>
      <c r="G24" s="123"/>
      <c r="H24" s="123"/>
      <c r="I24" s="123"/>
      <c r="J24" s="124"/>
    </row>
    <row r="26" spans="1:15" x14ac:dyDescent="0.25">
      <c r="E26" s="107"/>
    </row>
    <row r="27" spans="1:15" x14ac:dyDescent="0.25">
      <c r="B27" s="107"/>
      <c r="C27" s="107"/>
      <c r="D27" s="107"/>
      <c r="E27" s="107"/>
      <c r="F27" s="107"/>
      <c r="G27" s="107"/>
      <c r="H27" s="107"/>
    </row>
    <row r="28" spans="1:15" x14ac:dyDescent="0.25">
      <c r="B28" s="107"/>
      <c r="C28" s="107"/>
      <c r="D28" s="107"/>
      <c r="E28" s="107"/>
      <c r="F28" s="107"/>
      <c r="G28" s="107"/>
      <c r="H28" s="107"/>
    </row>
    <row r="29" spans="1:15" x14ac:dyDescent="0.25">
      <c r="B29" s="107"/>
      <c r="C29" s="107"/>
      <c r="D29" s="107"/>
      <c r="E29" s="107"/>
      <c r="F29" s="107"/>
      <c r="G29" s="107"/>
      <c r="H29" s="107"/>
    </row>
    <row r="30" spans="1:15" x14ac:dyDescent="0.25">
      <c r="B30" s="107"/>
      <c r="C30" s="107"/>
      <c r="D30" s="107"/>
      <c r="E30" s="107"/>
      <c r="F30" s="107"/>
      <c r="G30" s="107"/>
      <c r="H30" s="107"/>
    </row>
    <row r="31" spans="1:15" x14ac:dyDescent="0.25">
      <c r="B31" s="107"/>
      <c r="C31" s="107"/>
      <c r="D31" s="107"/>
      <c r="E31" s="107"/>
      <c r="F31" s="107"/>
      <c r="G31" s="107"/>
      <c r="H31" s="107"/>
    </row>
    <row r="32" spans="1:15" x14ac:dyDescent="0.25">
      <c r="B32" s="107"/>
      <c r="C32" s="107"/>
      <c r="D32" s="107"/>
      <c r="E32" s="107"/>
      <c r="F32" s="107"/>
      <c r="G32" s="107"/>
      <c r="H32" s="107"/>
    </row>
    <row r="33" spans="2:8" x14ac:dyDescent="0.25">
      <c r="B33" s="107"/>
      <c r="C33" s="107"/>
      <c r="D33" s="107"/>
      <c r="E33" s="107"/>
      <c r="F33" s="107"/>
      <c r="G33" s="107"/>
      <c r="H33" s="107"/>
    </row>
    <row r="34" spans="2:8" x14ac:dyDescent="0.25">
      <c r="B34" s="107"/>
      <c r="C34" s="107"/>
      <c r="D34" s="107"/>
      <c r="E34" s="107"/>
      <c r="F34" s="107"/>
      <c r="G34" s="107"/>
      <c r="H34" s="107"/>
    </row>
    <row r="35" spans="2:8" x14ac:dyDescent="0.25">
      <c r="B35" s="107"/>
      <c r="C35" s="107"/>
      <c r="D35" s="107"/>
      <c r="E35" s="107"/>
      <c r="F35" s="107"/>
      <c r="G35" s="107"/>
      <c r="H35" s="107"/>
    </row>
    <row r="36" spans="2:8" x14ac:dyDescent="0.25">
      <c r="B36" s="107"/>
      <c r="C36" s="107"/>
      <c r="D36" s="107"/>
      <c r="E36" s="107"/>
      <c r="F36" s="107"/>
      <c r="G36" s="107"/>
      <c r="H36" s="107"/>
    </row>
  </sheetData>
  <mergeCells count="3">
    <mergeCell ref="B1:C1"/>
    <mergeCell ref="E1:F1"/>
    <mergeCell ref="H1:I1"/>
  </mergeCells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Calc_Button">
              <controlPr defaultSize="0" print="0" autoFill="0" autoLine="0" autoPict="0" macro="[0]!CDS_compute_handler">
                <anchor moveWithCells="1" sizeWithCells="1">
                  <from>
                    <xdr:col>6</xdr:col>
                    <xdr:colOff>160020</xdr:colOff>
                    <xdr:row>20</xdr:row>
                    <xdr:rowOff>106680</xdr:rowOff>
                  </from>
                  <to>
                    <xdr:col>9</xdr:col>
                    <xdr:colOff>22860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Drop Down 2">
              <controlPr defaultSize="0" autoFill="0" autoLine="0" autoPict="0">
                <anchor moveWithCells="1">
                  <from>
                    <xdr:col>4</xdr:col>
                    <xdr:colOff>7620</xdr:colOff>
                    <xdr:row>21</xdr:row>
                    <xdr:rowOff>7620</xdr:rowOff>
                  </from>
                  <to>
                    <xdr:col>5</xdr:col>
                    <xdr:colOff>396240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Option Button 4">
              <controlPr defaultSize="0" autoFill="0" autoLine="0" autoPict="0">
                <anchor moveWithCells="1" sizeWithCells="1">
                  <from>
                    <xdr:col>6</xdr:col>
                    <xdr:colOff>152400</xdr:colOff>
                    <xdr:row>17</xdr:row>
                    <xdr:rowOff>99060</xdr:rowOff>
                  </from>
                  <to>
                    <xdr:col>9</xdr:col>
                    <xdr:colOff>60960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Option Button 5">
              <controlPr defaultSize="0" autoFill="0" autoLine="0" autoPict="0">
                <anchor moveWithCells="1" sizeWithCells="1">
                  <from>
                    <xdr:col>6</xdr:col>
                    <xdr:colOff>152400</xdr:colOff>
                    <xdr:row>18</xdr:row>
                    <xdr:rowOff>137160</xdr:rowOff>
                  </from>
                  <to>
                    <xdr:col>9</xdr:col>
                    <xdr:colOff>60960</xdr:colOff>
                    <xdr:row>20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39"/>
  <sheetViews>
    <sheetView zoomScaleNormal="100" workbookViewId="0">
      <selection activeCell="D15" sqref="D15"/>
    </sheetView>
  </sheetViews>
  <sheetFormatPr defaultColWidth="9.109375" defaultRowHeight="13.2" x14ac:dyDescent="0.25"/>
  <cols>
    <col min="1" max="1" width="2.6640625" style="108" customWidth="1"/>
    <col min="2" max="2" width="19.109375" style="108" bestFit="1" customWidth="1"/>
    <col min="3" max="3" width="19.5546875" style="108" bestFit="1" customWidth="1"/>
    <col min="4" max="4" width="11" style="108" bestFit="1" customWidth="1"/>
    <col min="5" max="5" width="10" style="108" customWidth="1"/>
    <col min="6" max="6" width="11.33203125" style="108" bestFit="1" customWidth="1"/>
    <col min="7" max="7" width="5.6640625" style="108" customWidth="1"/>
    <col min="8" max="9" width="9.109375" style="108"/>
    <col min="10" max="10" width="8.5546875" style="108" customWidth="1"/>
    <col min="11" max="11" width="9.109375" style="108"/>
    <col min="12" max="12" width="9.88671875" style="108" bestFit="1" customWidth="1"/>
    <col min="13" max="13" width="3.88671875" style="108" customWidth="1"/>
    <col min="14" max="14" width="8.109375" style="108" customWidth="1"/>
    <col min="15" max="15" width="10.6640625" style="108" customWidth="1"/>
    <col min="16" max="16384" width="9.109375" style="108"/>
  </cols>
  <sheetData>
    <row r="1" spans="1:16" x14ac:dyDescent="0.25">
      <c r="A1" s="104"/>
      <c r="B1" s="163" t="s">
        <v>168</v>
      </c>
      <c r="C1" s="162"/>
      <c r="D1" s="105"/>
      <c r="E1" s="162" t="s">
        <v>157</v>
      </c>
      <c r="F1" s="162"/>
      <c r="G1" s="105"/>
      <c r="H1" s="162" t="s">
        <v>34</v>
      </c>
      <c r="I1" s="162"/>
      <c r="J1" s="131"/>
      <c r="K1" s="131"/>
      <c r="L1" s="131"/>
      <c r="M1" s="106"/>
      <c r="N1" s="107"/>
      <c r="O1" s="107"/>
      <c r="P1" s="107"/>
    </row>
    <row r="2" spans="1:16" x14ac:dyDescent="0.25">
      <c r="A2" s="109"/>
      <c r="B2" s="115"/>
      <c r="C2" s="115"/>
      <c r="D2" s="110"/>
      <c r="E2" s="111" t="s">
        <v>35</v>
      </c>
      <c r="F2" s="110" t="s">
        <v>160</v>
      </c>
      <c r="G2" s="110"/>
      <c r="H2" s="111" t="s">
        <v>35</v>
      </c>
      <c r="I2" s="110" t="s">
        <v>36</v>
      </c>
      <c r="J2" s="115"/>
      <c r="K2" s="115"/>
      <c r="L2" s="115"/>
      <c r="M2" s="112"/>
      <c r="N2" s="107"/>
      <c r="O2" s="107"/>
      <c r="P2" s="107"/>
    </row>
    <row r="3" spans="1:16" x14ac:dyDescent="0.25">
      <c r="A3" s="109"/>
      <c r="B3" s="119" t="s">
        <v>167</v>
      </c>
      <c r="C3" s="114">
        <v>5</v>
      </c>
      <c r="D3" s="110"/>
      <c r="E3" s="113">
        <v>1</v>
      </c>
      <c r="F3" s="114">
        <v>3.8E-3</v>
      </c>
      <c r="G3" s="115"/>
      <c r="H3" s="113">
        <v>1</v>
      </c>
      <c r="I3" s="116">
        <v>0.05</v>
      </c>
      <c r="J3" s="115"/>
      <c r="K3" s="115"/>
      <c r="L3" s="115"/>
      <c r="M3" s="112"/>
      <c r="N3" s="107"/>
      <c r="O3" s="107"/>
      <c r="P3" s="107"/>
    </row>
    <row r="4" spans="1:16" x14ac:dyDescent="0.25">
      <c r="A4" s="109"/>
      <c r="B4" s="119" t="s">
        <v>161</v>
      </c>
      <c r="C4" s="114">
        <v>0.4</v>
      </c>
      <c r="D4" s="110"/>
      <c r="E4" s="113">
        <v>5</v>
      </c>
      <c r="F4" s="114">
        <v>3.8E-3</v>
      </c>
      <c r="G4" s="115"/>
      <c r="H4" s="113">
        <v>2</v>
      </c>
      <c r="I4" s="116">
        <v>0.05</v>
      </c>
      <c r="J4" s="115"/>
      <c r="K4" s="115"/>
      <c r="L4" s="115"/>
      <c r="M4" s="112"/>
      <c r="N4" s="107"/>
      <c r="O4" s="107"/>
      <c r="P4" s="107"/>
    </row>
    <row r="5" spans="1:16" x14ac:dyDescent="0.25">
      <c r="A5" s="109"/>
      <c r="B5" s="119" t="s">
        <v>166</v>
      </c>
      <c r="C5" s="114">
        <v>125</v>
      </c>
      <c r="D5" s="110"/>
      <c r="E5" s="113">
        <v>10</v>
      </c>
      <c r="F5" s="114">
        <v>3.8E-3</v>
      </c>
      <c r="G5" s="115"/>
      <c r="H5" s="113">
        <v>3</v>
      </c>
      <c r="I5" s="116">
        <v>0.05</v>
      </c>
      <c r="J5" s="115"/>
      <c r="K5" s="115"/>
      <c r="L5" s="115"/>
      <c r="M5" s="112"/>
      <c r="N5" s="107"/>
      <c r="O5" s="107"/>
      <c r="P5" s="107"/>
    </row>
    <row r="6" spans="1:16" x14ac:dyDescent="0.25">
      <c r="A6" s="109"/>
      <c r="B6" s="121" t="s">
        <v>176</v>
      </c>
      <c r="C6" s="114">
        <v>10</v>
      </c>
      <c r="D6" s="110"/>
      <c r="E6" s="113">
        <v>25</v>
      </c>
      <c r="F6" s="114">
        <v>3.8E-3</v>
      </c>
      <c r="G6" s="115"/>
      <c r="H6" s="113">
        <v>4</v>
      </c>
      <c r="I6" s="116">
        <v>0.05</v>
      </c>
      <c r="J6" s="115"/>
      <c r="K6" s="115"/>
      <c r="L6" s="115"/>
      <c r="M6" s="112"/>
      <c r="N6" s="107"/>
      <c r="O6" s="107"/>
      <c r="P6" s="107"/>
    </row>
    <row r="7" spans="1:16" x14ac:dyDescent="0.25">
      <c r="A7" s="109"/>
      <c r="B7" s="115"/>
      <c r="C7" s="115"/>
      <c r="D7" s="110"/>
      <c r="E7" s="113"/>
      <c r="F7" s="114"/>
      <c r="G7" s="115"/>
      <c r="H7" s="113">
        <v>5</v>
      </c>
      <c r="I7" s="116">
        <v>0.05</v>
      </c>
      <c r="J7" s="115"/>
      <c r="K7" s="115"/>
      <c r="L7" s="115"/>
      <c r="M7" s="112"/>
      <c r="N7" s="107"/>
      <c r="O7" s="107"/>
      <c r="P7" s="107"/>
    </row>
    <row r="8" spans="1:16" x14ac:dyDescent="0.25">
      <c r="A8" s="109"/>
      <c r="B8" s="121" t="s">
        <v>162</v>
      </c>
      <c r="C8" s="115"/>
      <c r="D8" s="110"/>
      <c r="E8" s="113"/>
      <c r="F8" s="114"/>
      <c r="G8" s="110"/>
      <c r="H8" s="113"/>
      <c r="I8" s="116"/>
      <c r="J8" s="115"/>
      <c r="K8" s="115"/>
      <c r="L8" s="115"/>
      <c r="M8" s="112"/>
      <c r="N8" s="107"/>
      <c r="O8" s="107"/>
      <c r="P8" s="107"/>
    </row>
    <row r="9" spans="1:16" x14ac:dyDescent="0.25">
      <c r="A9" s="109"/>
      <c r="B9" s="115"/>
      <c r="C9" s="115"/>
      <c r="D9" s="110"/>
      <c r="E9" s="113"/>
      <c r="F9" s="114"/>
      <c r="G9" s="115"/>
      <c r="H9" s="113"/>
      <c r="I9" s="116"/>
      <c r="J9" s="115"/>
      <c r="K9" s="115"/>
      <c r="L9" s="115"/>
      <c r="M9" s="112"/>
      <c r="N9" s="107"/>
      <c r="O9" s="107"/>
      <c r="P9" s="107"/>
    </row>
    <row r="10" spans="1:16" x14ac:dyDescent="0.25">
      <c r="A10" s="109"/>
      <c r="B10" s="115"/>
      <c r="C10" s="115"/>
      <c r="D10" s="110"/>
      <c r="E10" s="113"/>
      <c r="F10" s="114"/>
      <c r="G10" s="115"/>
      <c r="H10" s="113"/>
      <c r="I10" s="116"/>
      <c r="J10" s="115"/>
      <c r="K10" s="115"/>
      <c r="L10" s="115"/>
      <c r="M10" s="112"/>
      <c r="N10" s="107"/>
      <c r="O10" s="107"/>
      <c r="P10" s="107"/>
    </row>
    <row r="11" spans="1:16" x14ac:dyDescent="0.25">
      <c r="A11" s="109"/>
      <c r="B11" s="115"/>
      <c r="C11" s="115"/>
      <c r="D11" s="110"/>
      <c r="E11" s="113"/>
      <c r="F11" s="114"/>
      <c r="G11" s="115"/>
      <c r="H11" s="113"/>
      <c r="I11" s="116"/>
      <c r="J11" s="115"/>
      <c r="K11" s="115"/>
      <c r="L11" s="115"/>
      <c r="M11" s="112"/>
      <c r="N11" s="107"/>
      <c r="O11" s="107"/>
      <c r="P11" s="107"/>
    </row>
    <row r="12" spans="1:16" x14ac:dyDescent="0.25">
      <c r="A12" s="109"/>
      <c r="B12" s="115"/>
      <c r="C12" s="115"/>
      <c r="D12" s="110"/>
      <c r="E12" s="113"/>
      <c r="F12" s="114"/>
      <c r="G12" s="115"/>
      <c r="H12" s="113"/>
      <c r="I12" s="116"/>
      <c r="J12" s="115"/>
      <c r="K12" s="115"/>
      <c r="L12" s="115"/>
      <c r="M12" s="112"/>
      <c r="N12" s="107"/>
      <c r="O12" s="107"/>
      <c r="P12" s="107"/>
    </row>
    <row r="13" spans="1:16" x14ac:dyDescent="0.25">
      <c r="A13" s="109"/>
      <c r="B13" s="115"/>
      <c r="C13" s="115"/>
      <c r="D13" s="110"/>
      <c r="E13" s="113"/>
      <c r="F13" s="114"/>
      <c r="G13" s="115"/>
      <c r="H13" s="113"/>
      <c r="I13" s="116"/>
      <c r="J13" s="115"/>
      <c r="K13" s="115"/>
      <c r="L13" s="115"/>
      <c r="M13" s="112"/>
      <c r="N13" s="107"/>
      <c r="O13" s="107"/>
      <c r="P13" s="107"/>
    </row>
    <row r="14" spans="1:16" x14ac:dyDescent="0.25">
      <c r="A14" s="109"/>
      <c r="B14" s="115"/>
      <c r="C14" s="115"/>
      <c r="D14" s="110"/>
      <c r="E14" s="113"/>
      <c r="F14" s="114"/>
      <c r="G14" s="115"/>
      <c r="H14" s="113"/>
      <c r="I14" s="116"/>
      <c r="J14" s="115"/>
      <c r="K14" s="115"/>
      <c r="L14" s="115"/>
      <c r="M14" s="112"/>
      <c r="N14" s="117"/>
      <c r="O14" s="118"/>
      <c r="P14" s="118"/>
    </row>
    <row r="15" spans="1:16" x14ac:dyDescent="0.25">
      <c r="A15" s="109"/>
      <c r="B15" s="115"/>
      <c r="C15" s="115"/>
      <c r="D15" s="119"/>
      <c r="E15" s="113"/>
      <c r="F15" s="114"/>
      <c r="G15" s="115"/>
      <c r="H15" s="113"/>
      <c r="I15" s="116"/>
      <c r="J15" s="115"/>
      <c r="K15" s="115"/>
      <c r="L15" s="115"/>
      <c r="M15" s="112"/>
      <c r="N15" s="117"/>
      <c r="O15" s="118"/>
      <c r="P15" s="118"/>
    </row>
    <row r="16" spans="1:16" x14ac:dyDescent="0.25">
      <c r="A16" s="109"/>
      <c r="B16" s="115"/>
      <c r="C16" s="115"/>
      <c r="D16" s="119"/>
      <c r="E16" s="113"/>
      <c r="F16" s="114"/>
      <c r="G16" s="115"/>
      <c r="H16" s="113"/>
      <c r="I16" s="116"/>
      <c r="J16" s="115"/>
      <c r="K16" s="115"/>
      <c r="L16" s="115"/>
      <c r="M16" s="112"/>
      <c r="N16" s="117"/>
      <c r="O16" s="117"/>
      <c r="P16" s="117"/>
    </row>
    <row r="17" spans="1:16" x14ac:dyDescent="0.25">
      <c r="A17" s="109"/>
      <c r="B17" s="115"/>
      <c r="C17" s="115"/>
      <c r="D17" s="119"/>
      <c r="E17" s="113"/>
      <c r="F17" s="114"/>
      <c r="G17" s="115"/>
      <c r="H17" s="113"/>
      <c r="I17" s="116"/>
      <c r="J17" s="115"/>
      <c r="K17" s="115"/>
      <c r="L17" s="115"/>
      <c r="M17" s="112"/>
      <c r="N17" s="117"/>
      <c r="O17" s="117"/>
      <c r="P17" s="117"/>
    </row>
    <row r="18" spans="1:16" x14ac:dyDescent="0.25">
      <c r="A18" s="109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2"/>
      <c r="N18" s="117"/>
      <c r="O18" s="117"/>
      <c r="P18" s="117"/>
    </row>
    <row r="19" spans="1:16" x14ac:dyDescent="0.25">
      <c r="A19" s="109"/>
      <c r="B19" s="111" t="s">
        <v>165</v>
      </c>
      <c r="C19" s="111" t="s">
        <v>164</v>
      </c>
      <c r="D19" s="111" t="s">
        <v>159</v>
      </c>
      <c r="E19" s="111" t="s">
        <v>163</v>
      </c>
      <c r="F19" s="110" t="s">
        <v>202</v>
      </c>
      <c r="G19" s="115"/>
      <c r="H19" s="115"/>
      <c r="I19" s="115"/>
      <c r="J19" s="111" t="s">
        <v>200</v>
      </c>
      <c r="K19" s="110" t="s">
        <v>201</v>
      </c>
      <c r="L19" s="110" t="s">
        <v>186</v>
      </c>
      <c r="M19" s="112"/>
    </row>
    <row r="20" spans="1:16" x14ac:dyDescent="0.25">
      <c r="A20" s="109"/>
      <c r="B20" s="130">
        <v>0</v>
      </c>
      <c r="C20" s="130">
        <v>0.03</v>
      </c>
      <c r="D20" s="127">
        <v>500</v>
      </c>
      <c r="E20" s="126">
        <v>0.10340000000000001</v>
      </c>
      <c r="F20" s="125">
        <v>0.16246659474139219</v>
      </c>
      <c r="G20" s="115"/>
      <c r="H20" s="115"/>
      <c r="I20" s="115"/>
      <c r="J20" s="126">
        <v>0.28699981658032486</v>
      </c>
      <c r="K20" s="125">
        <v>3.6718165686938598</v>
      </c>
      <c r="L20" s="125">
        <v>0.16246659474139219</v>
      </c>
      <c r="M20" s="112"/>
      <c r="O20" s="132"/>
    </row>
    <row r="21" spans="1:16" x14ac:dyDescent="0.25">
      <c r="A21" s="109"/>
      <c r="B21" s="136">
        <v>0.03</v>
      </c>
      <c r="C21" s="138">
        <v>0.06</v>
      </c>
      <c r="D21" s="137">
        <v>41.59</v>
      </c>
      <c r="E21" s="126"/>
      <c r="F21" s="125">
        <v>8.026700956715184E-2</v>
      </c>
      <c r="G21" s="115"/>
      <c r="H21" s="115"/>
      <c r="I21" s="115"/>
      <c r="J21" s="126">
        <v>1.8190104399784718E-2</v>
      </c>
      <c r="K21" s="125">
        <v>4.3736537947346266</v>
      </c>
      <c r="L21" s="125">
        <v>0.26207339543861979</v>
      </c>
      <c r="M21" s="112"/>
    </row>
    <row r="22" spans="1:16" x14ac:dyDescent="0.25">
      <c r="A22" s="109"/>
      <c r="B22" s="130">
        <v>0.06</v>
      </c>
      <c r="C22" s="130">
        <v>0.09</v>
      </c>
      <c r="D22" s="127">
        <v>11.95</v>
      </c>
      <c r="E22" s="126"/>
      <c r="F22" s="125">
        <v>0.14183337744595143</v>
      </c>
      <c r="G22" s="115"/>
      <c r="H22" s="115"/>
      <c r="I22" s="115"/>
      <c r="J22" s="126">
        <v>5.2483070570526298E-3</v>
      </c>
      <c r="K22" s="125">
        <v>4.3898300597125717</v>
      </c>
      <c r="L22" s="125">
        <v>0.33228250317915903</v>
      </c>
      <c r="M22" s="112"/>
    </row>
    <row r="23" spans="1:16" x14ac:dyDescent="0.25">
      <c r="A23" s="109"/>
      <c r="B23" s="130">
        <v>0.09</v>
      </c>
      <c r="C23" s="130">
        <v>0.12</v>
      </c>
      <c r="D23" s="127">
        <v>5.6</v>
      </c>
      <c r="E23" s="126"/>
      <c r="F23" s="125">
        <v>0.18548691884135474</v>
      </c>
      <c r="G23" s="115"/>
      <c r="H23" s="115"/>
      <c r="I23" s="115"/>
      <c r="J23" s="126">
        <v>2.4520790014195041E-3</v>
      </c>
      <c r="K23" s="125">
        <v>4.393192434555635</v>
      </c>
      <c r="L23" s="125">
        <v>0.39254056036134921</v>
      </c>
      <c r="M23" s="112"/>
    </row>
    <row r="24" spans="1:16" x14ac:dyDescent="0.25">
      <c r="A24" s="109"/>
      <c r="B24" s="130">
        <v>0.12</v>
      </c>
      <c r="C24" s="130">
        <v>0.22</v>
      </c>
      <c r="D24" s="127">
        <v>2</v>
      </c>
      <c r="E24" s="126"/>
      <c r="F24" s="125">
        <v>0.23597501720843136</v>
      </c>
      <c r="G24" s="115"/>
      <c r="H24" s="115"/>
      <c r="I24" s="115"/>
      <c r="J24" s="126">
        <v>8.8333640544671047E-4</v>
      </c>
      <c r="K24" s="125">
        <v>4.3951902362741055</v>
      </c>
      <c r="L24" s="125">
        <v>0.58074273403991516</v>
      </c>
      <c r="M24" s="112"/>
    </row>
    <row r="25" spans="1:16" x14ac:dyDescent="0.25">
      <c r="A25" s="122"/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4"/>
    </row>
    <row r="26" spans="1:16" x14ac:dyDescent="0.25">
      <c r="B26" s="107"/>
      <c r="C26" s="107"/>
      <c r="D26" s="107"/>
      <c r="E26" s="107"/>
      <c r="F26" s="107"/>
      <c r="G26" s="107"/>
      <c r="H26" s="107"/>
    </row>
    <row r="27" spans="1:16" x14ac:dyDescent="0.25">
      <c r="B27" s="107"/>
      <c r="C27" s="107"/>
      <c r="D27" s="107"/>
      <c r="E27" s="107"/>
      <c r="F27" s="107"/>
      <c r="G27" s="107"/>
      <c r="H27" s="107"/>
    </row>
    <row r="28" spans="1:16" x14ac:dyDescent="0.25">
      <c r="B28"/>
      <c r="C28"/>
      <c r="D28"/>
      <c r="E28"/>
      <c r="F28"/>
      <c r="G28"/>
      <c r="H28" s="107"/>
    </row>
    <row r="29" spans="1:16" x14ac:dyDescent="0.25">
      <c r="B29"/>
      <c r="C29"/>
      <c r="D29"/>
      <c r="E29"/>
      <c r="F29"/>
      <c r="G29"/>
      <c r="H29" s="107"/>
    </row>
    <row r="30" spans="1:16" x14ac:dyDescent="0.25">
      <c r="B30"/>
      <c r="C30"/>
      <c r="D30"/>
      <c r="E30"/>
      <c r="F30"/>
      <c r="G30"/>
      <c r="H30" s="107"/>
    </row>
    <row r="31" spans="1:16" x14ac:dyDescent="0.25">
      <c r="B31"/>
      <c r="C31"/>
      <c r="D31"/>
      <c r="E31"/>
      <c r="F31"/>
      <c r="G31"/>
      <c r="H31" s="107"/>
    </row>
    <row r="32" spans="1:16" x14ac:dyDescent="0.25">
      <c r="B32"/>
      <c r="C32"/>
      <c r="D32"/>
      <c r="E32"/>
      <c r="F32"/>
      <c r="G32"/>
      <c r="H32" s="107"/>
    </row>
    <row r="33" spans="2:8" x14ac:dyDescent="0.25">
      <c r="B33"/>
      <c r="C33"/>
      <c r="D33"/>
      <c r="E33"/>
      <c r="F33"/>
      <c r="G33"/>
      <c r="H33" s="107"/>
    </row>
    <row r="34" spans="2:8" x14ac:dyDescent="0.25">
      <c r="B34"/>
      <c r="C34"/>
      <c r="D34"/>
      <c r="E34"/>
      <c r="F34"/>
      <c r="G34"/>
      <c r="H34" s="107"/>
    </row>
    <row r="35" spans="2:8" x14ac:dyDescent="0.25">
      <c r="B35"/>
      <c r="C35"/>
      <c r="D35"/>
      <c r="E35"/>
      <c r="F35"/>
      <c r="G35"/>
    </row>
    <row r="36" spans="2:8" x14ac:dyDescent="0.25">
      <c r="B36"/>
      <c r="C36"/>
      <c r="D36"/>
      <c r="E36"/>
      <c r="F36"/>
      <c r="G36"/>
    </row>
    <row r="37" spans="2:8" x14ac:dyDescent="0.25">
      <c r="B37"/>
      <c r="C37"/>
      <c r="D37"/>
      <c r="E37"/>
      <c r="F37"/>
      <c r="G37"/>
    </row>
    <row r="38" spans="2:8" x14ac:dyDescent="0.25">
      <c r="B38"/>
      <c r="C38"/>
      <c r="D38"/>
      <c r="E38"/>
      <c r="F38"/>
      <c r="G38"/>
    </row>
    <row r="39" spans="2:8" x14ac:dyDescent="0.25">
      <c r="D39" s="134"/>
    </row>
  </sheetData>
  <mergeCells count="3">
    <mergeCell ref="B1:C1"/>
    <mergeCell ref="E1:F1"/>
    <mergeCell ref="H1:I1"/>
  </mergeCells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alc_Button">
              <controlPr defaultSize="0" print="0" autoFill="0" autoLine="0" autoPict="0" macro="[0]!CDO_compute_handler">
                <anchor moveWithCells="1" sizeWithCells="1">
                  <from>
                    <xdr:col>1</xdr:col>
                    <xdr:colOff>1158240</xdr:colOff>
                    <xdr:row>12</xdr:row>
                    <xdr:rowOff>7620</xdr:rowOff>
                  </from>
                  <to>
                    <xdr:col>3</xdr:col>
                    <xdr:colOff>60960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rop Down 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137160</xdr:rowOff>
                  </from>
                  <to>
                    <xdr:col>2</xdr:col>
                    <xdr:colOff>1112520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Check Box 3">
              <controlPr defaultSize="0" autoFill="0" autoLine="0" autoPict="0">
                <anchor moveWithCells="1">
                  <from>
                    <xdr:col>6</xdr:col>
                    <xdr:colOff>30480</xdr:colOff>
                    <xdr:row>18</xdr:row>
                    <xdr:rowOff>137160</xdr:rowOff>
                  </from>
                  <to>
                    <xdr:col>8</xdr:col>
                    <xdr:colOff>106680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Check Box 4">
              <controlPr defaultSize="0" autoFill="0" autoLine="0" autoPict="0">
                <anchor moveWithCells="1">
                  <from>
                    <xdr:col>2</xdr:col>
                    <xdr:colOff>213360</xdr:colOff>
                    <xdr:row>15</xdr:row>
                    <xdr:rowOff>38100</xdr:rowOff>
                  </from>
                  <to>
                    <xdr:col>2</xdr:col>
                    <xdr:colOff>1028700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Check Box 5">
              <controlPr defaultSize="0" autoFill="0" autoLine="0" autoPict="0">
                <anchor moveWithCells="1">
                  <from>
                    <xdr:col>6</xdr:col>
                    <xdr:colOff>30480</xdr:colOff>
                    <xdr:row>19</xdr:row>
                    <xdr:rowOff>137160</xdr:rowOff>
                  </from>
                  <to>
                    <xdr:col>8</xdr:col>
                    <xdr:colOff>106680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Check Box 6">
              <controlPr defaultSize="0" autoFill="0" autoLine="0" autoPict="0">
                <anchor moveWithCells="1">
                  <from>
                    <xdr:col>6</xdr:col>
                    <xdr:colOff>30480</xdr:colOff>
                    <xdr:row>20</xdr:row>
                    <xdr:rowOff>137160</xdr:rowOff>
                  </from>
                  <to>
                    <xdr:col>8</xdr:col>
                    <xdr:colOff>106680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Check Box 7">
              <controlPr defaultSize="0" autoFill="0" autoLine="0" autoPict="0">
                <anchor moveWithCells="1">
                  <from>
                    <xdr:col>6</xdr:col>
                    <xdr:colOff>30480</xdr:colOff>
                    <xdr:row>21</xdr:row>
                    <xdr:rowOff>137160</xdr:rowOff>
                  </from>
                  <to>
                    <xdr:col>8</xdr:col>
                    <xdr:colOff>106680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Check Box 8">
              <controlPr defaultSize="0" autoFill="0" autoLine="0" autoPict="0">
                <anchor moveWithCells="1">
                  <from>
                    <xdr:col>6</xdr:col>
                    <xdr:colOff>30480</xdr:colOff>
                    <xdr:row>22</xdr:row>
                    <xdr:rowOff>144780</xdr:rowOff>
                  </from>
                  <to>
                    <xdr:col>8</xdr:col>
                    <xdr:colOff>106680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40"/>
  <sheetViews>
    <sheetView topLeftCell="A103" workbookViewId="0">
      <selection activeCell="A140" sqref="A140"/>
    </sheetView>
  </sheetViews>
  <sheetFormatPr defaultRowHeight="13.2" x14ac:dyDescent="0.25"/>
  <cols>
    <col min="1" max="1" width="31.109375" bestFit="1" customWidth="1"/>
    <col min="2" max="2" width="7" bestFit="1" customWidth="1"/>
    <col min="3" max="3" width="10.44140625" bestFit="1" customWidth="1"/>
    <col min="4" max="4" width="25.109375" bestFit="1" customWidth="1"/>
    <col min="5" max="5" width="21.6640625" bestFit="1" customWidth="1"/>
    <col min="6" max="6" width="25.88671875" bestFit="1" customWidth="1"/>
    <col min="7" max="7" width="32" bestFit="1" customWidth="1"/>
    <col min="8" max="8" width="11.109375" bestFit="1" customWidth="1"/>
    <col min="9" max="9" width="8.88671875" bestFit="1" customWidth="1"/>
    <col min="10" max="10" width="6.5546875" bestFit="1" customWidth="1"/>
    <col min="11" max="11" width="6.33203125" customWidth="1"/>
    <col min="12" max="12" width="6.33203125" bestFit="1" customWidth="1"/>
    <col min="13" max="13" width="2" bestFit="1" customWidth="1"/>
    <col min="15" max="15" width="7" bestFit="1" customWidth="1"/>
    <col min="16" max="16" width="9" bestFit="1" customWidth="1"/>
    <col min="18" max="18" width="7.5546875" bestFit="1" customWidth="1"/>
    <col min="19" max="19" width="12" bestFit="1" customWidth="1"/>
    <col min="21" max="21" width="7" bestFit="1" customWidth="1"/>
    <col min="22" max="22" width="12" bestFit="1" customWidth="1"/>
  </cols>
  <sheetData>
    <row r="1" spans="1:25" ht="26.4" x14ac:dyDescent="0.25">
      <c r="A1" s="83" t="s">
        <v>56</v>
      </c>
      <c r="B1">
        <v>3</v>
      </c>
      <c r="C1" s="84" t="s">
        <v>57</v>
      </c>
      <c r="D1" s="83" t="s">
        <v>58</v>
      </c>
      <c r="H1" s="83" t="s">
        <v>59</v>
      </c>
      <c r="O1" s="85" t="s">
        <v>60</v>
      </c>
      <c r="P1" s="85"/>
      <c r="R1" s="86" t="s">
        <v>61</v>
      </c>
      <c r="S1" s="85"/>
      <c r="U1" s="94" t="s">
        <v>62</v>
      </c>
      <c r="V1" s="85"/>
      <c r="X1" s="94" t="s">
        <v>184</v>
      </c>
    </row>
    <row r="2" spans="1:25" x14ac:dyDescent="0.25">
      <c r="A2" s="87" t="s">
        <v>63</v>
      </c>
      <c r="C2">
        <v>2</v>
      </c>
      <c r="D2" t="s">
        <v>17</v>
      </c>
      <c r="E2" t="s">
        <v>18</v>
      </c>
      <c r="H2" s="87" t="s">
        <v>64</v>
      </c>
      <c r="I2" t="str">
        <f t="shared" ref="I2:I16" si="0">IF($B$18=2,"0.0000","0.00")</f>
        <v>0.00</v>
      </c>
      <c r="O2">
        <v>0.01</v>
      </c>
      <c r="P2" s="88">
        <v>4.8274893261836631</v>
      </c>
      <c r="R2">
        <v>-0.01</v>
      </c>
      <c r="S2">
        <v>1.2160895128669236</v>
      </c>
      <c r="U2">
        <v>0.91</v>
      </c>
      <c r="V2" s="88">
        <v>1.5512176327570548E-2</v>
      </c>
      <c r="X2">
        <v>0</v>
      </c>
      <c r="Y2">
        <v>1.6604437030390714E-2</v>
      </c>
    </row>
    <row r="3" spans="1:25" x14ac:dyDescent="0.25">
      <c r="A3" t="s">
        <v>65</v>
      </c>
      <c r="C3">
        <v>3</v>
      </c>
      <c r="D3" t="s">
        <v>17</v>
      </c>
      <c r="E3" t="s">
        <v>18</v>
      </c>
      <c r="F3" t="s">
        <v>47</v>
      </c>
      <c r="H3" s="87" t="s">
        <v>64</v>
      </c>
      <c r="I3" t="str">
        <f t="shared" si="0"/>
        <v>0.00</v>
      </c>
      <c r="J3" t="s">
        <v>66</v>
      </c>
      <c r="O3">
        <v>8.9599999999999999E-2</v>
      </c>
      <c r="P3" s="88">
        <v>8.2796913649559833</v>
      </c>
      <c r="R3">
        <v>-9.1999999999999998E-3</v>
      </c>
      <c r="S3" s="88">
        <v>1.234781699160199</v>
      </c>
      <c r="U3">
        <v>1.0736000000000001</v>
      </c>
      <c r="V3" s="88">
        <v>0.24840371810319201</v>
      </c>
      <c r="X3">
        <v>1</v>
      </c>
      <c r="Y3">
        <v>1.6604437030390714E-2</v>
      </c>
    </row>
    <row r="4" spans="1:25" x14ac:dyDescent="0.25">
      <c r="A4" s="87" t="s">
        <v>67</v>
      </c>
      <c r="C4">
        <v>3</v>
      </c>
      <c r="D4" t="s">
        <v>68</v>
      </c>
      <c r="E4" t="s">
        <v>18</v>
      </c>
      <c r="F4" t="s">
        <v>47</v>
      </c>
      <c r="H4" s="87" t="s">
        <v>64</v>
      </c>
      <c r="I4" t="str">
        <f t="shared" si="0"/>
        <v>0.00</v>
      </c>
      <c r="J4" t="s">
        <v>66</v>
      </c>
      <c r="O4">
        <v>0.16920000000000002</v>
      </c>
      <c r="P4" s="88">
        <v>12.435254903419718</v>
      </c>
      <c r="R4">
        <v>-8.3999999999999995E-3</v>
      </c>
      <c r="S4" s="88">
        <v>1.2445366350803755</v>
      </c>
      <c r="U4">
        <v>1.2372000000000001</v>
      </c>
      <c r="V4">
        <v>0.44510462484285729</v>
      </c>
      <c r="X4">
        <v>1.0001</v>
      </c>
      <c r="Y4">
        <v>2.7284234377533773E-2</v>
      </c>
    </row>
    <row r="5" spans="1:25" x14ac:dyDescent="0.25">
      <c r="A5" t="s">
        <v>69</v>
      </c>
      <c r="C5">
        <v>4</v>
      </c>
      <c r="D5" t="s">
        <v>17</v>
      </c>
      <c r="E5" t="s">
        <v>18</v>
      </c>
      <c r="F5" s="87" t="s">
        <v>19</v>
      </c>
      <c r="G5" t="s">
        <v>20</v>
      </c>
      <c r="H5" s="87" t="s">
        <v>64</v>
      </c>
      <c r="I5" t="str">
        <f t="shared" si="0"/>
        <v>0.00</v>
      </c>
      <c r="J5" s="87" t="s">
        <v>64</v>
      </c>
      <c r="K5" t="str">
        <f>IF($B$18=2,"0.0000","0.00")</f>
        <v>0.00</v>
      </c>
      <c r="O5">
        <v>0.24880000000000002</v>
      </c>
      <c r="P5" s="88">
        <v>16.453303215751276</v>
      </c>
      <c r="R5">
        <v>-7.6E-3</v>
      </c>
      <c r="S5" s="88">
        <v>1.2451297734987854</v>
      </c>
      <c r="U5">
        <v>1.4008</v>
      </c>
      <c r="V5">
        <v>0.63108854224324529</v>
      </c>
      <c r="X5">
        <v>5</v>
      </c>
      <c r="Y5">
        <v>2.7284234377533773E-2</v>
      </c>
    </row>
    <row r="6" spans="1:25" x14ac:dyDescent="0.25">
      <c r="A6" t="s">
        <v>70</v>
      </c>
      <c r="C6">
        <v>3</v>
      </c>
      <c r="D6" t="s">
        <v>17</v>
      </c>
      <c r="E6" t="s">
        <v>18</v>
      </c>
      <c r="F6" t="s">
        <v>71</v>
      </c>
      <c r="H6" s="87" t="s">
        <v>64</v>
      </c>
      <c r="I6" t="str">
        <f t="shared" si="0"/>
        <v>0.00</v>
      </c>
      <c r="J6" t="str">
        <f>IF($B$18=2,"0.0000","0.00")</f>
        <v>0.00</v>
      </c>
      <c r="O6">
        <v>0.32840000000000003</v>
      </c>
      <c r="P6" s="88">
        <v>20.284512106373626</v>
      </c>
      <c r="R6">
        <v>-6.8000000000000005E-3</v>
      </c>
      <c r="S6" s="88">
        <v>1.2365476683832077</v>
      </c>
      <c r="U6">
        <v>1.5644</v>
      </c>
      <c r="V6">
        <v>0.80305262327687099</v>
      </c>
      <c r="X6">
        <v>5.0000999999999998</v>
      </c>
      <c r="Y6">
        <v>3.4677114038678764E-2</v>
      </c>
    </row>
    <row r="7" spans="1:25" x14ac:dyDescent="0.25">
      <c r="A7" t="s">
        <v>72</v>
      </c>
      <c r="C7">
        <v>3</v>
      </c>
      <c r="D7" t="s">
        <v>17</v>
      </c>
      <c r="E7" t="s">
        <v>18</v>
      </c>
      <c r="F7" t="s">
        <v>71</v>
      </c>
      <c r="H7" s="87" t="s">
        <v>64</v>
      </c>
      <c r="I7" t="str">
        <f t="shared" si="0"/>
        <v>0.00</v>
      </c>
      <c r="J7" t="str">
        <f>IF($B$18=2,"0.0000","0.00")</f>
        <v>0.00</v>
      </c>
      <c r="O7">
        <v>0.40800000000000003</v>
      </c>
      <c r="P7" s="88">
        <v>23.923350344943032</v>
      </c>
      <c r="R7">
        <v>-6.0000000000000001E-3</v>
      </c>
      <c r="S7" s="88">
        <v>1.2189823648604703</v>
      </c>
      <c r="U7">
        <v>1.728</v>
      </c>
      <c r="V7">
        <v>0.9598845062175424</v>
      </c>
      <c r="X7">
        <v>10</v>
      </c>
      <c r="Y7">
        <v>3.4677114038678764E-2</v>
      </c>
    </row>
    <row r="8" spans="1:25" x14ac:dyDescent="0.25">
      <c r="A8" t="s">
        <v>73</v>
      </c>
      <c r="C8">
        <v>3</v>
      </c>
      <c r="D8" t="s">
        <v>17</v>
      </c>
      <c r="E8" t="s">
        <v>18</v>
      </c>
      <c r="F8" t="s">
        <v>71</v>
      </c>
      <c r="H8" s="87" t="s">
        <v>64</v>
      </c>
      <c r="I8" t="str">
        <f t="shared" si="0"/>
        <v>0.00</v>
      </c>
      <c r="J8" t="str">
        <f>IF($B$18=2,"0.0000","0.00")</f>
        <v>0.00</v>
      </c>
      <c r="O8">
        <v>0.48760000000000003</v>
      </c>
      <c r="P8" s="88">
        <v>27.372581341853849</v>
      </c>
      <c r="R8">
        <v>-5.1999999999999998E-3</v>
      </c>
      <c r="S8" s="88">
        <v>1.1928261525901473</v>
      </c>
      <c r="U8">
        <v>1.8915999999999999</v>
      </c>
      <c r="V8">
        <v>1.1071739815945039</v>
      </c>
      <c r="X8">
        <v>10.000999999999999</v>
      </c>
      <c r="Y8">
        <v>3.9396702351745229E-2</v>
      </c>
    </row>
    <row r="9" spans="1:25" x14ac:dyDescent="0.25">
      <c r="A9" t="s">
        <v>74</v>
      </c>
      <c r="C9">
        <v>3</v>
      </c>
      <c r="D9" t="s">
        <v>17</v>
      </c>
      <c r="E9" t="s">
        <v>18</v>
      </c>
      <c r="F9" t="s">
        <v>71</v>
      </c>
      <c r="H9" s="87" t="s">
        <v>64</v>
      </c>
      <c r="I9" t="str">
        <f t="shared" si="0"/>
        <v>0.00</v>
      </c>
      <c r="J9" t="str">
        <f>IF($B$18=2,"0.0000","0.00")</f>
        <v>0.00</v>
      </c>
      <c r="O9">
        <v>0.56720000000000004</v>
      </c>
      <c r="P9" s="88">
        <v>30.637411036938492</v>
      </c>
      <c r="R9">
        <v>-4.4000000000000003E-3</v>
      </c>
      <c r="S9">
        <v>1.1586456730232153</v>
      </c>
      <c r="U9">
        <v>2.0552000000000001</v>
      </c>
      <c r="V9">
        <v>1.2422139505073277</v>
      </c>
      <c r="X9">
        <v>11.25</v>
      </c>
      <c r="Y9">
        <v>3.9396702351745229E-2</v>
      </c>
    </row>
    <row r="10" spans="1:25" x14ac:dyDescent="0.25">
      <c r="A10" t="s">
        <v>75</v>
      </c>
      <c r="C10">
        <v>3</v>
      </c>
      <c r="D10" t="s">
        <v>17</v>
      </c>
      <c r="E10" t="s">
        <v>18</v>
      </c>
      <c r="F10" t="s">
        <v>76</v>
      </c>
      <c r="H10" s="87" t="s">
        <v>64</v>
      </c>
      <c r="I10" t="str">
        <f t="shared" si="0"/>
        <v>0.00</v>
      </c>
      <c r="J10" t="str">
        <f>IF($B$18=2,"0.0000","0.00")</f>
        <v>0.00</v>
      </c>
      <c r="O10">
        <v>0.64680000000000004</v>
      </c>
      <c r="P10" s="88">
        <v>33.723941567341754</v>
      </c>
      <c r="R10">
        <v>-3.5999999999999999E-3</v>
      </c>
      <c r="S10">
        <v>1.1171669220796376</v>
      </c>
      <c r="U10">
        <v>2.2187999999999999</v>
      </c>
      <c r="V10">
        <v>1.3643993348439203</v>
      </c>
      <c r="X10">
        <v>11.875</v>
      </c>
      <c r="Y10">
        <v>3.9396702351745229E-2</v>
      </c>
    </row>
    <row r="11" spans="1:25" x14ac:dyDescent="0.25">
      <c r="A11" t="s">
        <v>77</v>
      </c>
      <c r="C11">
        <v>2</v>
      </c>
      <c r="D11" t="s">
        <v>17</v>
      </c>
      <c r="E11" t="s">
        <v>18</v>
      </c>
      <c r="H11" s="87" t="s">
        <v>64</v>
      </c>
      <c r="I11" t="str">
        <f t="shared" si="0"/>
        <v>0.00</v>
      </c>
      <c r="O11">
        <v>0.72640000000000005</v>
      </c>
      <c r="P11" s="88">
        <v>36.638633660438742</v>
      </c>
      <c r="R11">
        <v>-2.8E-3</v>
      </c>
      <c r="S11">
        <v>1.069251110469791</v>
      </c>
      <c r="U11">
        <v>2.3824000000000001</v>
      </c>
      <c r="V11">
        <v>1.4791402154494862</v>
      </c>
      <c r="X11">
        <v>12.5</v>
      </c>
      <c r="Y11">
        <v>3.9396702351745229E-2</v>
      </c>
    </row>
    <row r="12" spans="1:25" x14ac:dyDescent="0.25">
      <c r="A12" t="s">
        <v>78</v>
      </c>
      <c r="C12">
        <v>3</v>
      </c>
      <c r="D12" t="s">
        <v>17</v>
      </c>
      <c r="E12" t="s">
        <v>18</v>
      </c>
      <c r="F12" t="s">
        <v>79</v>
      </c>
      <c r="H12" s="87" t="s">
        <v>64</v>
      </c>
      <c r="I12" t="str">
        <f t="shared" si="0"/>
        <v>0.00</v>
      </c>
      <c r="J12" s="87" t="s">
        <v>64</v>
      </c>
      <c r="O12">
        <v>0.80600000000000005</v>
      </c>
      <c r="P12" s="88">
        <v>39.388080836845361</v>
      </c>
      <c r="R12">
        <v>-2E-3</v>
      </c>
      <c r="S12">
        <v>1.0158655150395024</v>
      </c>
      <c r="U12">
        <v>2.5459999999999998</v>
      </c>
      <c r="V12">
        <v>1.5840350688198133</v>
      </c>
      <c r="X12">
        <v>13.125</v>
      </c>
      <c r="Y12">
        <v>3.9396702351745229E-2</v>
      </c>
    </row>
    <row r="13" spans="1:25" x14ac:dyDescent="0.25">
      <c r="A13" t="s">
        <v>80</v>
      </c>
      <c r="C13">
        <v>4</v>
      </c>
      <c r="D13" s="87" t="s">
        <v>81</v>
      </c>
      <c r="E13" t="s">
        <v>82</v>
      </c>
      <c r="F13" s="87" t="s">
        <v>83</v>
      </c>
      <c r="G13" t="s">
        <v>84</v>
      </c>
      <c r="H13" s="87" t="s">
        <v>64</v>
      </c>
      <c r="I13" t="str">
        <f t="shared" si="0"/>
        <v>0.00</v>
      </c>
      <c r="J13" s="87" t="s">
        <v>64</v>
      </c>
      <c r="K13" t="str">
        <f>IF($B$18=2,"0.0000","0.00")</f>
        <v>0.00</v>
      </c>
      <c r="O13">
        <v>0.88560000000000005</v>
      </c>
      <c r="P13" s="88">
        <v>41.978900110909194</v>
      </c>
      <c r="R13">
        <v>-1.1999999999999997E-3</v>
      </c>
      <c r="S13">
        <v>0.95805113594860991</v>
      </c>
      <c r="U13">
        <v>2.7096</v>
      </c>
      <c r="V13">
        <v>1.6786809397251439</v>
      </c>
      <c r="X13">
        <v>13.75</v>
      </c>
      <c r="Y13">
        <v>3.9396702351745229E-2</v>
      </c>
    </row>
    <row r="14" spans="1:25" x14ac:dyDescent="0.25">
      <c r="A14" t="s">
        <v>85</v>
      </c>
      <c r="C14">
        <v>4</v>
      </c>
      <c r="D14" s="87" t="s">
        <v>81</v>
      </c>
      <c r="E14" t="s">
        <v>82</v>
      </c>
      <c r="F14" s="87" t="s">
        <v>83</v>
      </c>
      <c r="G14" t="s">
        <v>84</v>
      </c>
      <c r="H14" s="87" t="s">
        <v>64</v>
      </c>
      <c r="I14" t="str">
        <f t="shared" si="0"/>
        <v>0.00</v>
      </c>
      <c r="J14" s="87" t="s">
        <v>64</v>
      </c>
      <c r="K14" t="str">
        <f>IF($B$18=2,"0.0000","0.00")</f>
        <v>0.00</v>
      </c>
      <c r="O14">
        <v>0.96520000000000006</v>
      </c>
      <c r="P14" s="88">
        <v>44.417672342241232</v>
      </c>
      <c r="R14">
        <v>-3.9999999999999975E-4</v>
      </c>
      <c r="S14">
        <v>0.89688894758545246</v>
      </c>
      <c r="U14">
        <v>2.8731999999999998</v>
      </c>
      <c r="V14">
        <v>1.7680400567492833</v>
      </c>
      <c r="X14">
        <v>14.375</v>
      </c>
      <c r="Y14">
        <v>3.9396702351745229E-2</v>
      </c>
    </row>
    <row r="15" spans="1:25" x14ac:dyDescent="0.25">
      <c r="A15" s="101" t="s">
        <v>150</v>
      </c>
      <c r="C15">
        <v>3</v>
      </c>
      <c r="D15" t="s">
        <v>17</v>
      </c>
      <c r="E15" t="s">
        <v>86</v>
      </c>
      <c r="F15" t="s">
        <v>87</v>
      </c>
      <c r="H15" s="87" t="s">
        <v>64</v>
      </c>
      <c r="I15" t="str">
        <f t="shared" si="0"/>
        <v>0.00</v>
      </c>
      <c r="J15" t="str">
        <f>IF($B$18=2,"0.0000","0.00")</f>
        <v>0.00</v>
      </c>
      <c r="O15">
        <v>1.0448</v>
      </c>
      <c r="P15" s="88">
        <v>46.710906063117562</v>
      </c>
      <c r="R15">
        <v>4.0000000000000029E-4</v>
      </c>
      <c r="S15">
        <v>0.83346643007114363</v>
      </c>
      <c r="U15">
        <v>3.0367999999999999</v>
      </c>
      <c r="V15">
        <v>1.8498018247549972</v>
      </c>
      <c r="X15">
        <v>15</v>
      </c>
      <c r="Y15">
        <v>3.9396702351745229E-2</v>
      </c>
    </row>
    <row r="16" spans="1:25" x14ac:dyDescent="0.25">
      <c r="A16" s="101" t="s">
        <v>151</v>
      </c>
      <c r="C16">
        <v>4</v>
      </c>
      <c r="D16" t="s">
        <v>17</v>
      </c>
      <c r="E16" t="s">
        <v>86</v>
      </c>
      <c r="F16" t="s">
        <v>87</v>
      </c>
      <c r="G16" t="s">
        <v>18</v>
      </c>
      <c r="H16" s="87" t="s">
        <v>64</v>
      </c>
      <c r="I16" t="str">
        <f t="shared" si="0"/>
        <v>0.00</v>
      </c>
      <c r="J16" t="str">
        <f>IF($B$18=2,"0.0000","0.00")</f>
        <v>0.00</v>
      </c>
      <c r="K16" t="str">
        <f>IF($B$18=2,"0.0000","0.00")</f>
        <v>0.00</v>
      </c>
      <c r="O16">
        <v>1.1244000000000001</v>
      </c>
      <c r="P16" s="88">
        <v>48.865013427064227</v>
      </c>
      <c r="R16">
        <v>1.2000000000000003E-3</v>
      </c>
      <c r="S16">
        <v>0.76884589852315166</v>
      </c>
      <c r="U16">
        <v>3.2004000000000001</v>
      </c>
      <c r="V16">
        <v>1.9236119863137788</v>
      </c>
      <c r="X16">
        <v>15.625</v>
      </c>
      <c r="Y16">
        <v>3.9396702351745229E-2</v>
      </c>
    </row>
    <row r="17" spans="1:25" x14ac:dyDescent="0.25">
      <c r="O17">
        <v>1.204</v>
      </c>
      <c r="P17" s="88">
        <v>50.886292939985935</v>
      </c>
      <c r="R17">
        <v>2.0000000000000005E-3</v>
      </c>
      <c r="S17">
        <v>0.70403591926905484</v>
      </c>
      <c r="U17">
        <v>3.3639999999999999</v>
      </c>
      <c r="V17">
        <v>1.9938892311678571</v>
      </c>
      <c r="X17">
        <v>16.25</v>
      </c>
      <c r="Y17">
        <v>3.9396702351745229E-2</v>
      </c>
    </row>
    <row r="18" spans="1:25" x14ac:dyDescent="0.25">
      <c r="A18" s="83" t="s">
        <v>88</v>
      </c>
      <c r="B18">
        <v>1</v>
      </c>
      <c r="O18">
        <v>1.2836000000000001</v>
      </c>
      <c r="P18" s="88">
        <v>52.780916295406954</v>
      </c>
      <c r="R18">
        <v>2.8000000000000004E-3</v>
      </c>
      <c r="S18">
        <v>0.6399668303650019</v>
      </c>
      <c r="U18">
        <v>3.5276000000000001</v>
      </c>
      <c r="V18">
        <v>2.0583591117773206</v>
      </c>
      <c r="X18">
        <v>16.875</v>
      </c>
      <c r="Y18">
        <v>3.9396702351745229E-2</v>
      </c>
    </row>
    <row r="19" spans="1:25" x14ac:dyDescent="0.25">
      <c r="A19" t="s">
        <v>89</v>
      </c>
      <c r="C19">
        <v>3</v>
      </c>
      <c r="D19" t="s">
        <v>10</v>
      </c>
      <c r="E19" t="s">
        <v>11</v>
      </c>
      <c r="F19" t="s">
        <v>12</v>
      </c>
      <c r="H19" t="s">
        <v>90</v>
      </c>
      <c r="I19" t="s">
        <v>91</v>
      </c>
      <c r="J19" t="s">
        <v>91</v>
      </c>
      <c r="O19">
        <v>1.3632</v>
      </c>
      <c r="P19" s="88">
        <v>54.554917896054718</v>
      </c>
      <c r="R19">
        <v>3.6000000000000003E-3</v>
      </c>
      <c r="S19" s="88">
        <v>0.57747108498376942</v>
      </c>
      <c r="U19">
        <v>3.6911999999999998</v>
      </c>
      <c r="V19">
        <v>2.1166945726614181</v>
      </c>
      <c r="X19">
        <v>17.5</v>
      </c>
      <c r="Y19">
        <v>3.9396702351745229E-2</v>
      </c>
    </row>
    <row r="20" spans="1:25" x14ac:dyDescent="0.25">
      <c r="A20" t="s">
        <v>92</v>
      </c>
      <c r="C20">
        <v>4</v>
      </c>
      <c r="D20" t="s">
        <v>93</v>
      </c>
      <c r="E20" t="s">
        <v>11</v>
      </c>
      <c r="F20" t="s">
        <v>12</v>
      </c>
      <c r="G20" t="s">
        <v>94</v>
      </c>
      <c r="H20" t="s">
        <v>64</v>
      </c>
      <c r="I20" t="s">
        <v>91</v>
      </c>
      <c r="J20" t="s">
        <v>91</v>
      </c>
      <c r="K20" t="s">
        <v>91</v>
      </c>
      <c r="O20">
        <v>1.4428000000000001</v>
      </c>
      <c r="P20" s="88">
        <v>56.214186276319481</v>
      </c>
      <c r="R20">
        <v>4.4000000000000003E-3</v>
      </c>
      <c r="S20" s="88">
        <v>0.51726882865636092</v>
      </c>
      <c r="U20">
        <v>3.8548</v>
      </c>
      <c r="V20">
        <v>2.1727751053252735</v>
      </c>
      <c r="X20">
        <v>18.125</v>
      </c>
      <c r="Y20">
        <v>3.9396702351745229E-2</v>
      </c>
    </row>
    <row r="21" spans="1:25" x14ac:dyDescent="0.25">
      <c r="A21" t="s">
        <v>95</v>
      </c>
      <c r="C21">
        <v>4</v>
      </c>
      <c r="D21" t="s">
        <v>96</v>
      </c>
      <c r="E21" t="s">
        <v>11</v>
      </c>
      <c r="F21" t="s">
        <v>12</v>
      </c>
      <c r="G21" t="s">
        <v>97</v>
      </c>
      <c r="H21" t="s">
        <v>90</v>
      </c>
      <c r="I21" t="s">
        <v>91</v>
      </c>
      <c r="J21" t="s">
        <v>91</v>
      </c>
      <c r="K21" t="s">
        <v>91</v>
      </c>
      <c r="O21">
        <v>1.5224</v>
      </c>
      <c r="P21" s="88">
        <v>57.764456972373196</v>
      </c>
      <c r="R21">
        <v>5.2000000000000006E-3</v>
      </c>
      <c r="S21" s="88">
        <v>0.45995882273293098</v>
      </c>
      <c r="U21">
        <v>4.0183999999999997</v>
      </c>
      <c r="V21">
        <v>2.2219234687289267</v>
      </c>
      <c r="X21">
        <v>18.75</v>
      </c>
      <c r="Y21">
        <v>3.9396702351745229E-2</v>
      </c>
    </row>
    <row r="22" spans="1:25" x14ac:dyDescent="0.25">
      <c r="A22" t="s">
        <v>98</v>
      </c>
      <c r="C22">
        <v>3</v>
      </c>
      <c r="D22" t="s">
        <v>99</v>
      </c>
      <c r="E22" t="s">
        <v>11</v>
      </c>
      <c r="F22" t="s">
        <v>12</v>
      </c>
      <c r="H22" t="s">
        <v>90</v>
      </c>
      <c r="I22" t="s">
        <v>91</v>
      </c>
      <c r="J22" t="s">
        <v>91</v>
      </c>
      <c r="O22">
        <v>1.6020000000000001</v>
      </c>
      <c r="P22" s="88">
        <v>59.211306568040726</v>
      </c>
      <c r="R22">
        <v>6.0000000000000001E-3</v>
      </c>
      <c r="S22" s="88">
        <v>0.40601455287176513</v>
      </c>
      <c r="U22">
        <v>4.1820000000000004</v>
      </c>
      <c r="V22">
        <v>2.2712316815854261</v>
      </c>
      <c r="X22">
        <v>19.375</v>
      </c>
      <c r="Y22">
        <v>3.9396702351745229E-2</v>
      </c>
    </row>
    <row r="23" spans="1:25" x14ac:dyDescent="0.25">
      <c r="O23">
        <v>1.6816</v>
      </c>
      <c r="P23" s="88">
        <v>60.56014774643532</v>
      </c>
      <c r="R23">
        <v>6.8000000000000005E-3</v>
      </c>
      <c r="S23" s="88">
        <v>0.35578512616326385</v>
      </c>
      <c r="U23">
        <v>4.3456000000000001</v>
      </c>
      <c r="V23" s="88">
        <v>2.3167081847831876</v>
      </c>
      <c r="X23">
        <v>20</v>
      </c>
      <c r="Y23">
        <v>3.9396702351745229E-2</v>
      </c>
    </row>
    <row r="24" spans="1:25" x14ac:dyDescent="0.25">
      <c r="A24" s="83" t="s">
        <v>100</v>
      </c>
      <c r="B24">
        <v>2</v>
      </c>
      <c r="O24">
        <v>1.7612000000000001</v>
      </c>
      <c r="P24" s="88">
        <v>61.816225235930247</v>
      </c>
      <c r="R24">
        <v>7.6000000000000009E-3</v>
      </c>
      <c r="S24" s="88">
        <v>0.30950037333315805</v>
      </c>
      <c r="U24">
        <v>4.5091999999999999</v>
      </c>
      <c r="V24">
        <v>2.356412494057027</v>
      </c>
      <c r="X24">
        <v>20.625</v>
      </c>
      <c r="Y24">
        <v>3.9396702351745229E-2</v>
      </c>
    </row>
    <row r="25" spans="1:25" x14ac:dyDescent="0.25">
      <c r="O25">
        <v>1.8408</v>
      </c>
      <c r="P25" s="88">
        <v>62.984612573127407</v>
      </c>
      <c r="R25">
        <v>8.4000000000000012E-3</v>
      </c>
      <c r="S25" s="88">
        <v>0.26727943903058993</v>
      </c>
      <c r="U25">
        <v>4.6727999999999996</v>
      </c>
      <c r="V25">
        <v>2.3969356892600913</v>
      </c>
      <c r="X25">
        <v>21.25</v>
      </c>
      <c r="Y25">
        <v>3.9396702351745229E-2</v>
      </c>
    </row>
    <row r="26" spans="1:25" x14ac:dyDescent="0.25">
      <c r="A26" s="83" t="s">
        <v>101</v>
      </c>
      <c r="B26" t="b">
        <v>0</v>
      </c>
      <c r="O26">
        <v>1.9204000000000001</v>
      </c>
      <c r="P26" s="88">
        <v>64.07020962541911</v>
      </c>
      <c r="R26">
        <v>9.1999999999999998E-3</v>
      </c>
      <c r="S26">
        <v>0.2291420650704179</v>
      </c>
      <c r="U26">
        <v>4.8364000000000003</v>
      </c>
      <c r="V26">
        <v>2.4344032267268552</v>
      </c>
      <c r="X26">
        <v>21.875</v>
      </c>
      <c r="Y26">
        <v>3.9396702351745229E-2</v>
      </c>
    </row>
    <row r="27" spans="1:25" x14ac:dyDescent="0.25">
      <c r="O27">
        <v>2</v>
      </c>
      <c r="P27" s="88">
        <v>65.077740827258097</v>
      </c>
      <c r="R27">
        <v>0.01</v>
      </c>
      <c r="S27" s="88">
        <v>0.19502174648144077</v>
      </c>
      <c r="U27">
        <v>5</v>
      </c>
      <c r="V27" s="88">
        <v>2.4669887341426464</v>
      </c>
      <c r="X27">
        <v>22.5</v>
      </c>
      <c r="Y27">
        <v>3.9396702351745229E-2</v>
      </c>
    </row>
    <row r="28" spans="1:25" x14ac:dyDescent="0.25">
      <c r="A28" s="89" t="s">
        <v>102</v>
      </c>
      <c r="B28" t="b">
        <v>0</v>
      </c>
      <c r="X28">
        <v>23.125</v>
      </c>
      <c r="Y28">
        <v>3.9396702351745229E-2</v>
      </c>
    </row>
    <row r="29" spans="1:25" x14ac:dyDescent="0.25">
      <c r="X29">
        <v>23.75</v>
      </c>
      <c r="Y29">
        <v>3.9396702351745229E-2</v>
      </c>
    </row>
    <row r="30" spans="1:25" x14ac:dyDescent="0.25">
      <c r="A30" s="83" t="s">
        <v>103</v>
      </c>
      <c r="B30">
        <v>5</v>
      </c>
      <c r="X30">
        <v>24.375</v>
      </c>
      <c r="Y30">
        <v>3.9396702351745229E-2</v>
      </c>
    </row>
    <row r="31" spans="1:25" x14ac:dyDescent="0.25">
      <c r="A31" t="s">
        <v>104</v>
      </c>
      <c r="X31">
        <v>25</v>
      </c>
      <c r="Y31">
        <v>3.9396702351745229E-2</v>
      </c>
    </row>
    <row r="32" spans="1:25" x14ac:dyDescent="0.25">
      <c r="A32" t="s">
        <v>105</v>
      </c>
    </row>
    <row r="33" spans="1:7" x14ac:dyDescent="0.25">
      <c r="A33" t="s">
        <v>106</v>
      </c>
    </row>
    <row r="34" spans="1:7" x14ac:dyDescent="0.25">
      <c r="A34" s="87" t="s">
        <v>107</v>
      </c>
    </row>
    <row r="35" spans="1:7" x14ac:dyDescent="0.25">
      <c r="A35" t="s">
        <v>108</v>
      </c>
    </row>
    <row r="37" spans="1:7" x14ac:dyDescent="0.25">
      <c r="A37" s="89" t="s">
        <v>109</v>
      </c>
      <c r="B37">
        <v>1</v>
      </c>
    </row>
    <row r="38" spans="1:7" x14ac:dyDescent="0.25">
      <c r="A38" t="s">
        <v>110</v>
      </c>
    </row>
    <row r="39" spans="1:7" x14ac:dyDescent="0.25">
      <c r="A39" t="s">
        <v>111</v>
      </c>
    </row>
    <row r="40" spans="1:7" x14ac:dyDescent="0.25">
      <c r="A40" t="s">
        <v>112</v>
      </c>
    </row>
    <row r="41" spans="1:7" x14ac:dyDescent="0.25">
      <c r="A41" t="s">
        <v>113</v>
      </c>
    </row>
    <row r="42" spans="1:7" x14ac:dyDescent="0.25">
      <c r="A42" t="s">
        <v>114</v>
      </c>
    </row>
    <row r="43" spans="1:7" x14ac:dyDescent="0.25">
      <c r="A43" t="s">
        <v>115</v>
      </c>
    </row>
    <row r="45" spans="1:7" x14ac:dyDescent="0.25">
      <c r="B45" s="88"/>
      <c r="E45" s="90"/>
      <c r="F45" s="88"/>
      <c r="G45" s="88"/>
    </row>
    <row r="46" spans="1:7" x14ac:dyDescent="0.25">
      <c r="A46" s="91" t="s">
        <v>116</v>
      </c>
    </row>
    <row r="47" spans="1:7" x14ac:dyDescent="0.25">
      <c r="A47" s="91" t="s">
        <v>117</v>
      </c>
      <c r="B47">
        <v>2</v>
      </c>
    </row>
    <row r="48" spans="1:7" x14ac:dyDescent="0.25">
      <c r="A48" t="s">
        <v>118</v>
      </c>
    </row>
    <row r="49" spans="1:13" x14ac:dyDescent="0.25">
      <c r="A49" t="s">
        <v>119</v>
      </c>
    </row>
    <row r="50" spans="1:13" x14ac:dyDescent="0.25">
      <c r="A50" t="s">
        <v>120</v>
      </c>
    </row>
    <row r="52" spans="1:13" ht="26.4" x14ac:dyDescent="0.25">
      <c r="A52" s="91" t="s">
        <v>121</v>
      </c>
      <c r="B52">
        <v>1</v>
      </c>
      <c r="C52" s="84" t="s">
        <v>57</v>
      </c>
      <c r="D52" s="83" t="s">
        <v>58</v>
      </c>
      <c r="I52" s="83" t="s">
        <v>59</v>
      </c>
    </row>
    <row r="53" spans="1:13" x14ac:dyDescent="0.25">
      <c r="A53" s="87" t="s">
        <v>122</v>
      </c>
      <c r="C53">
        <v>3</v>
      </c>
      <c r="D53" s="92" t="s">
        <v>43</v>
      </c>
      <c r="E53" t="s">
        <v>44</v>
      </c>
      <c r="F53" s="92" t="s">
        <v>123</v>
      </c>
      <c r="G53" s="93"/>
      <c r="I53" s="87" t="s">
        <v>90</v>
      </c>
      <c r="J53" s="87" t="s">
        <v>90</v>
      </c>
      <c r="K53" t="s">
        <v>91</v>
      </c>
    </row>
    <row r="54" spans="1:13" x14ac:dyDescent="0.25">
      <c r="A54" s="87" t="s">
        <v>124</v>
      </c>
      <c r="C54">
        <v>4</v>
      </c>
      <c r="D54" s="92" t="s">
        <v>43</v>
      </c>
      <c r="E54" t="s">
        <v>44</v>
      </c>
      <c r="F54" s="92" t="s">
        <v>45</v>
      </c>
      <c r="G54" s="92" t="s">
        <v>46</v>
      </c>
      <c r="I54" s="87" t="s">
        <v>90</v>
      </c>
      <c r="J54" s="87" t="s">
        <v>90</v>
      </c>
      <c r="K54" t="s">
        <v>91</v>
      </c>
      <c r="L54" t="s">
        <v>91</v>
      </c>
    </row>
    <row r="55" spans="1:13" x14ac:dyDescent="0.25">
      <c r="A55" s="87" t="s">
        <v>125</v>
      </c>
      <c r="C55">
        <v>5</v>
      </c>
      <c r="D55" s="92" t="s">
        <v>43</v>
      </c>
      <c r="E55" t="s">
        <v>44</v>
      </c>
      <c r="F55" s="92" t="s">
        <v>45</v>
      </c>
      <c r="G55" s="92" t="s">
        <v>46</v>
      </c>
      <c r="H55" t="s">
        <v>47</v>
      </c>
      <c r="I55" s="87" t="s">
        <v>90</v>
      </c>
      <c r="J55" s="87" t="s">
        <v>90</v>
      </c>
      <c r="K55" t="s">
        <v>91</v>
      </c>
      <c r="L55" t="s">
        <v>91</v>
      </c>
      <c r="M55" t="s">
        <v>66</v>
      </c>
    </row>
    <row r="56" spans="1:13" x14ac:dyDescent="0.25">
      <c r="A56" s="87" t="s">
        <v>126</v>
      </c>
      <c r="C56">
        <v>5</v>
      </c>
      <c r="D56" s="92" t="s">
        <v>43</v>
      </c>
      <c r="E56" t="s">
        <v>44</v>
      </c>
      <c r="F56" s="92" t="s">
        <v>45</v>
      </c>
      <c r="G56" s="92" t="s">
        <v>46</v>
      </c>
      <c r="H56" t="s">
        <v>47</v>
      </c>
      <c r="I56" s="87" t="s">
        <v>90</v>
      </c>
      <c r="J56" s="87" t="s">
        <v>90</v>
      </c>
      <c r="K56" t="s">
        <v>91</v>
      </c>
      <c r="L56" t="s">
        <v>91</v>
      </c>
      <c r="M56" t="s">
        <v>66</v>
      </c>
    </row>
    <row r="57" spans="1:13" x14ac:dyDescent="0.25">
      <c r="A57" s="87" t="s">
        <v>127</v>
      </c>
      <c r="C57">
        <v>5</v>
      </c>
      <c r="D57" s="92" t="s">
        <v>43</v>
      </c>
      <c r="E57" t="s">
        <v>44</v>
      </c>
      <c r="F57" s="92" t="s">
        <v>45</v>
      </c>
      <c r="G57" s="92" t="s">
        <v>46</v>
      </c>
      <c r="H57" t="s">
        <v>47</v>
      </c>
      <c r="I57" s="87" t="s">
        <v>90</v>
      </c>
      <c r="J57" s="87" t="s">
        <v>90</v>
      </c>
      <c r="K57" t="s">
        <v>91</v>
      </c>
      <c r="L57" t="s">
        <v>91</v>
      </c>
      <c r="M57" t="s">
        <v>66</v>
      </c>
    </row>
    <row r="58" spans="1:13" x14ac:dyDescent="0.25">
      <c r="A58" s="87" t="s">
        <v>128</v>
      </c>
      <c r="C58">
        <v>5</v>
      </c>
      <c r="D58" s="92" t="s">
        <v>43</v>
      </c>
      <c r="E58" t="s">
        <v>44</v>
      </c>
      <c r="F58" s="92" t="s">
        <v>45</v>
      </c>
      <c r="G58" s="92" t="s">
        <v>46</v>
      </c>
      <c r="H58" t="s">
        <v>47</v>
      </c>
      <c r="I58" s="87" t="s">
        <v>90</v>
      </c>
      <c r="J58" s="87" t="s">
        <v>90</v>
      </c>
      <c r="K58" t="s">
        <v>91</v>
      </c>
      <c r="L58" t="s">
        <v>91</v>
      </c>
      <c r="M58" t="s">
        <v>66</v>
      </c>
    </row>
    <row r="60" spans="1:13" x14ac:dyDescent="0.25">
      <c r="A60" s="83" t="s">
        <v>100</v>
      </c>
      <c r="B60">
        <v>1</v>
      </c>
    </row>
    <row r="62" spans="1:13" x14ac:dyDescent="0.25">
      <c r="A62" s="89" t="s">
        <v>102</v>
      </c>
      <c r="B62" t="b">
        <v>0</v>
      </c>
    </row>
    <row r="64" spans="1:13" x14ac:dyDescent="0.25">
      <c r="A64" s="91" t="s">
        <v>129</v>
      </c>
      <c r="B64" t="b">
        <v>0</v>
      </c>
    </row>
    <row r="66" spans="1:2" x14ac:dyDescent="0.25">
      <c r="A66" s="91" t="s">
        <v>130</v>
      </c>
      <c r="B66" t="b">
        <v>1</v>
      </c>
    </row>
    <row r="68" spans="1:2" x14ac:dyDescent="0.25">
      <c r="A68" s="83" t="s">
        <v>103</v>
      </c>
      <c r="B68">
        <v>1</v>
      </c>
    </row>
    <row r="69" spans="1:2" x14ac:dyDescent="0.25">
      <c r="A69" s="87" t="s">
        <v>131</v>
      </c>
    </row>
    <row r="70" spans="1:2" x14ac:dyDescent="0.25">
      <c r="A70" t="s">
        <v>105</v>
      </c>
    </row>
    <row r="71" spans="1:2" x14ac:dyDescent="0.25">
      <c r="A71" s="87" t="s">
        <v>107</v>
      </c>
    </row>
    <row r="72" spans="1:2" x14ac:dyDescent="0.25">
      <c r="A72" t="s">
        <v>108</v>
      </c>
    </row>
    <row r="73" spans="1:2" x14ac:dyDescent="0.25">
      <c r="A73" t="s">
        <v>132</v>
      </c>
    </row>
    <row r="75" spans="1:2" x14ac:dyDescent="0.25">
      <c r="A75" s="89" t="s">
        <v>109</v>
      </c>
      <c r="B75">
        <v>4</v>
      </c>
    </row>
    <row r="76" spans="1:2" x14ac:dyDescent="0.25">
      <c r="A76" t="s">
        <v>110</v>
      </c>
    </row>
    <row r="77" spans="1:2" x14ac:dyDescent="0.25">
      <c r="A77" t="s">
        <v>133</v>
      </c>
    </row>
    <row r="78" spans="1:2" x14ac:dyDescent="0.25">
      <c r="A78" s="87" t="s">
        <v>134</v>
      </c>
    </row>
    <row r="79" spans="1:2" x14ac:dyDescent="0.25">
      <c r="A79" t="s">
        <v>113</v>
      </c>
    </row>
    <row r="81" spans="1:11" x14ac:dyDescent="0.25">
      <c r="A81" s="91" t="s">
        <v>135</v>
      </c>
    </row>
    <row r="82" spans="1:11" x14ac:dyDescent="0.25">
      <c r="A82" s="94" t="s">
        <v>136</v>
      </c>
      <c r="B82">
        <v>3</v>
      </c>
    </row>
    <row r="83" spans="1:11" x14ac:dyDescent="0.25">
      <c r="A83" s="87" t="s">
        <v>137</v>
      </c>
    </row>
    <row r="84" spans="1:11" x14ac:dyDescent="0.25">
      <c r="A84" t="s">
        <v>118</v>
      </c>
    </row>
    <row r="85" spans="1:11" x14ac:dyDescent="0.25">
      <c r="A85" t="s">
        <v>119</v>
      </c>
    </row>
    <row r="86" spans="1:11" x14ac:dyDescent="0.25">
      <c r="A86" t="s">
        <v>120</v>
      </c>
    </row>
    <row r="88" spans="1:11" ht="26.4" x14ac:dyDescent="0.25">
      <c r="A88" s="91" t="s">
        <v>121</v>
      </c>
      <c r="B88">
        <v>1</v>
      </c>
      <c r="C88" s="84" t="s">
        <v>57</v>
      </c>
      <c r="D88" s="83" t="s">
        <v>58</v>
      </c>
      <c r="I88" s="83" t="s">
        <v>59</v>
      </c>
    </row>
    <row r="89" spans="1:11" x14ac:dyDescent="0.25">
      <c r="A89" s="87" t="s">
        <v>122</v>
      </c>
      <c r="C89">
        <v>1</v>
      </c>
      <c r="D89" s="92" t="s">
        <v>138</v>
      </c>
      <c r="G89" s="93"/>
      <c r="I89" t="s">
        <v>91</v>
      </c>
      <c r="J89" s="87"/>
    </row>
    <row r="90" spans="1:11" x14ac:dyDescent="0.25">
      <c r="A90" s="87" t="s">
        <v>139</v>
      </c>
      <c r="C90">
        <v>2</v>
      </c>
      <c r="D90" s="92" t="s">
        <v>45</v>
      </c>
      <c r="E90" s="92" t="s">
        <v>46</v>
      </c>
      <c r="G90" s="92"/>
      <c r="I90" t="s">
        <v>91</v>
      </c>
      <c r="J90" t="s">
        <v>91</v>
      </c>
    </row>
    <row r="91" spans="1:11" x14ac:dyDescent="0.25">
      <c r="A91" s="87" t="s">
        <v>127</v>
      </c>
      <c r="C91">
        <v>3</v>
      </c>
      <c r="D91" s="92" t="s">
        <v>45</v>
      </c>
      <c r="E91" s="92" t="s">
        <v>46</v>
      </c>
      <c r="F91" t="s">
        <v>47</v>
      </c>
      <c r="G91" s="92"/>
      <c r="I91" t="s">
        <v>91</v>
      </c>
      <c r="J91" t="s">
        <v>91</v>
      </c>
      <c r="K91" t="s">
        <v>66</v>
      </c>
    </row>
    <row r="93" spans="1:11" x14ac:dyDescent="0.25">
      <c r="A93" s="87"/>
    </row>
    <row r="95" spans="1:11" x14ac:dyDescent="0.25">
      <c r="A95" s="83" t="s">
        <v>88</v>
      </c>
      <c r="B95">
        <v>2</v>
      </c>
    </row>
    <row r="96" spans="1:11" x14ac:dyDescent="0.25">
      <c r="A96" s="87" t="s">
        <v>140</v>
      </c>
      <c r="C96">
        <v>4</v>
      </c>
      <c r="D96" t="s">
        <v>52</v>
      </c>
      <c r="E96" t="s">
        <v>53</v>
      </c>
      <c r="F96" s="87" t="s">
        <v>54</v>
      </c>
      <c r="G96" t="s">
        <v>55</v>
      </c>
      <c r="H96" s="87" t="s">
        <v>66</v>
      </c>
      <c r="I96" t="s">
        <v>90</v>
      </c>
      <c r="J96" t="s">
        <v>90</v>
      </c>
      <c r="K96" t="s">
        <v>91</v>
      </c>
    </row>
    <row r="97" spans="1:11" x14ac:dyDescent="0.25">
      <c r="A97" s="87" t="s">
        <v>141</v>
      </c>
      <c r="C97">
        <v>4</v>
      </c>
      <c r="D97" t="s">
        <v>52</v>
      </c>
      <c r="E97" s="87" t="s">
        <v>142</v>
      </c>
      <c r="F97" s="87" t="s">
        <v>143</v>
      </c>
      <c r="G97" s="87" t="s">
        <v>144</v>
      </c>
      <c r="H97" s="87" t="s">
        <v>66</v>
      </c>
      <c r="I97" t="s">
        <v>90</v>
      </c>
      <c r="J97" t="s">
        <v>90</v>
      </c>
      <c r="K97" t="s">
        <v>91</v>
      </c>
    </row>
    <row r="99" spans="1:11" x14ac:dyDescent="0.25">
      <c r="A99" s="83" t="s">
        <v>100</v>
      </c>
      <c r="B99">
        <v>1</v>
      </c>
    </row>
    <row r="101" spans="1:11" x14ac:dyDescent="0.25">
      <c r="A101" s="89" t="s">
        <v>102</v>
      </c>
      <c r="B101" t="b">
        <v>0</v>
      </c>
    </row>
    <row r="103" spans="1:11" x14ac:dyDescent="0.25">
      <c r="A103" s="91" t="s">
        <v>145</v>
      </c>
      <c r="B103" t="b">
        <v>0</v>
      </c>
    </row>
    <row r="105" spans="1:11" x14ac:dyDescent="0.25">
      <c r="A105" s="83" t="s">
        <v>103</v>
      </c>
      <c r="B105">
        <v>5</v>
      </c>
    </row>
    <row r="106" spans="1:11" x14ac:dyDescent="0.25">
      <c r="A106" s="87" t="s">
        <v>131</v>
      </c>
    </row>
    <row r="107" spans="1:11" x14ac:dyDescent="0.25">
      <c r="A107" t="s">
        <v>108</v>
      </c>
    </row>
    <row r="108" spans="1:11" x14ac:dyDescent="0.25">
      <c r="A108" t="s">
        <v>146</v>
      </c>
    </row>
    <row r="109" spans="1:11" x14ac:dyDescent="0.25">
      <c r="A109" s="87" t="s">
        <v>147</v>
      </c>
    </row>
    <row r="110" spans="1:11" x14ac:dyDescent="0.25">
      <c r="A110" s="87" t="s">
        <v>148</v>
      </c>
    </row>
    <row r="112" spans="1:11" x14ac:dyDescent="0.25">
      <c r="A112" s="89" t="s">
        <v>109</v>
      </c>
      <c r="B112">
        <v>1</v>
      </c>
    </row>
    <row r="113" spans="1:2" x14ac:dyDescent="0.25">
      <c r="A113" t="s">
        <v>110</v>
      </c>
    </row>
    <row r="114" spans="1:2" x14ac:dyDescent="0.25">
      <c r="A114" t="s">
        <v>133</v>
      </c>
    </row>
    <row r="115" spans="1:2" x14ac:dyDescent="0.25">
      <c r="A115" s="87" t="s">
        <v>134</v>
      </c>
    </row>
    <row r="116" spans="1:2" x14ac:dyDescent="0.25">
      <c r="A116" t="s">
        <v>113</v>
      </c>
    </row>
    <row r="118" spans="1:2" x14ac:dyDescent="0.25">
      <c r="A118" s="83" t="s">
        <v>154</v>
      </c>
    </row>
    <row r="119" spans="1:2" x14ac:dyDescent="0.25">
      <c r="A119" s="89" t="s">
        <v>155</v>
      </c>
      <c r="B119">
        <v>1</v>
      </c>
    </row>
    <row r="120" spans="1:2" x14ac:dyDescent="0.25">
      <c r="A120" t="s">
        <v>118</v>
      </c>
    </row>
    <row r="121" spans="1:2" x14ac:dyDescent="0.25">
      <c r="A121" t="s">
        <v>119</v>
      </c>
    </row>
    <row r="122" spans="1:2" x14ac:dyDescent="0.25">
      <c r="A122" t="s">
        <v>120</v>
      </c>
    </row>
    <row r="124" spans="1:2" x14ac:dyDescent="0.25">
      <c r="A124" s="89" t="s">
        <v>156</v>
      </c>
      <c r="B124">
        <v>2</v>
      </c>
    </row>
    <row r="126" spans="1:2" x14ac:dyDescent="0.25">
      <c r="A126" s="83" t="s">
        <v>175</v>
      </c>
    </row>
    <row r="127" spans="1:2" x14ac:dyDescent="0.25">
      <c r="A127" s="89" t="s">
        <v>155</v>
      </c>
      <c r="B127">
        <v>1</v>
      </c>
    </row>
    <row r="128" spans="1:2" x14ac:dyDescent="0.25">
      <c r="A128" t="s">
        <v>118</v>
      </c>
    </row>
    <row r="129" spans="1:2" x14ac:dyDescent="0.25">
      <c r="A129" t="s">
        <v>119</v>
      </c>
    </row>
    <row r="130" spans="1:2" x14ac:dyDescent="0.25">
      <c r="A130" t="s">
        <v>120</v>
      </c>
    </row>
    <row r="131" spans="1:2" x14ac:dyDescent="0.25">
      <c r="A131" s="5"/>
      <c r="B131" s="5"/>
    </row>
    <row r="132" spans="1:2" x14ac:dyDescent="0.25">
      <c r="A132" s="5" t="s">
        <v>169</v>
      </c>
      <c r="B132" s="5" t="b">
        <v>1</v>
      </c>
    </row>
    <row r="133" spans="1:2" x14ac:dyDescent="0.25">
      <c r="A133" s="5" t="s">
        <v>170</v>
      </c>
      <c r="B133" s="5" t="b">
        <v>0</v>
      </c>
    </row>
    <row r="134" spans="1:2" x14ac:dyDescent="0.25">
      <c r="A134" s="5" t="s">
        <v>171</v>
      </c>
      <c r="B134" s="5" t="b">
        <v>0</v>
      </c>
    </row>
    <row r="135" spans="1:2" x14ac:dyDescent="0.25">
      <c r="A135" s="5" t="s">
        <v>172</v>
      </c>
      <c r="B135" s="5" t="b">
        <v>0</v>
      </c>
    </row>
    <row r="136" spans="1:2" x14ac:dyDescent="0.25">
      <c r="A136" s="5" t="s">
        <v>173</v>
      </c>
      <c r="B136" s="5" t="b">
        <v>0</v>
      </c>
    </row>
    <row r="137" spans="1:2" x14ac:dyDescent="0.25">
      <c r="A137" s="5"/>
      <c r="B137" s="5"/>
    </row>
    <row r="138" spans="1:2" x14ac:dyDescent="0.25">
      <c r="A138" s="128" t="s">
        <v>174</v>
      </c>
      <c r="B138" s="5" t="b">
        <v>1</v>
      </c>
    </row>
    <row r="140" spans="1:2" x14ac:dyDescent="0.25">
      <c r="A140" s="133" t="s">
        <v>185</v>
      </c>
      <c r="B140">
        <v>2</v>
      </c>
    </row>
  </sheetData>
  <phoneticPr fontId="6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Tree Display</vt:lpstr>
      <vt:lpstr>Title</vt:lpstr>
      <vt:lpstr>Equity_FX_Index_Futures_Options</vt:lpstr>
      <vt:lpstr>IR Tree Display</vt:lpstr>
      <vt:lpstr>Bond_Options</vt:lpstr>
      <vt:lpstr>Caps_and_Swap_Options</vt:lpstr>
      <vt:lpstr>CDSs</vt:lpstr>
      <vt:lpstr>CDOs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Derivagem calculator</dc:title>
  <dc:subject/>
  <dc:creator>Alan White</dc:creator>
  <cp:keywords/>
  <dc:description/>
  <cp:lastModifiedBy>Davide</cp:lastModifiedBy>
  <cp:lastPrinted>2009-10-22T20:28:47Z</cp:lastPrinted>
  <dcterms:created xsi:type="dcterms:W3CDTF">1999-03-17T01:46:46Z</dcterms:created>
  <dcterms:modified xsi:type="dcterms:W3CDTF">2020-01-09T17:59:15Z</dcterms:modified>
</cp:coreProperties>
</file>